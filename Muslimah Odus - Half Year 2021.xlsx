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 2021" sheetId="1" r:id="rId4"/>
    <sheet state="visible" name="Q2 2021" sheetId="2" r:id="rId5"/>
    <sheet state="visible" name="Half Year" sheetId="3" r:id="rId6"/>
  </sheets>
  <definedNames/>
  <calcPr/>
</workbook>
</file>

<file path=xl/sharedStrings.xml><?xml version="1.0" encoding="utf-8"?>
<sst xmlns="http://schemas.openxmlformats.org/spreadsheetml/2006/main" count="165" uniqueCount="57">
  <si>
    <t>INTERNALLY GENERATED REVENUE FOR STATES/FCT (JANUARY-MARCH, 2021)</t>
  </si>
  <si>
    <t>S/N</t>
  </si>
  <si>
    <t>State</t>
  </si>
  <si>
    <t>PAYE</t>
  </si>
  <si>
    <t>Direct Assessment</t>
  </si>
  <si>
    <t>Road Tax</t>
  </si>
  <si>
    <t>Other Taxes</t>
  </si>
  <si>
    <t>Total Tax</t>
  </si>
  <si>
    <t>MDAs</t>
  </si>
  <si>
    <t>Grand Total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</si>
  <si>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</si>
  <si>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</si>
  <si>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</si>
  <si>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</si>
  <si>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</si>
  <si>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</si>
  <si>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</si>
  <si>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</si>
  <si>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</si>
  <si>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</si>
  <si>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</si>
  <si>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</si>
  <si>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</si>
  <si>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</si>
  <si>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</si>
  <si>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</si>
  <si>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</si>
  <si>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</si>
  <si>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</si>
  <si>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</si>
  <si>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</si>
  <si>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</si>
  <si>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</si>
  <si>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</si>
  <si>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</si>
  <si>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</si>
  <si>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</si>
  <si>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</si>
  <si>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</si>
  <si>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</si>
  <si>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</si>
  <si>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</si>
  <si>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</si>
  <si>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</si>
  <si>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</si>
  <si>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</si>
  <si>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</si>
  <si>
    <t>Total</t>
  </si>
  <si>
    <t>South-West</t>
  </si>
  <si>
    <t>South-South</t>
  </si>
  <si>
    <t>South-East</t>
  </si>
  <si>
    <t>North-Central</t>
  </si>
  <si>
    <t>North-West</t>
  </si>
  <si>
    <t>North-East</t>
  </si>
  <si>
    <t>Zonal-Total</t>
  </si>
  <si>
    <t>INTERNALLY GENERATED REVENUE FOR STATES/FCT (APRIL-JUNE, 2021)</t>
  </si>
  <si>
    <t>INTERNALLY GENERATED REVENUE FOR STATES/FCT (HALF YEAR 2021)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</si>
</sst>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(* #,##0.00_);_(* \(#,##0.00\);_(* &quot;-&quot;??_);_(@_)"/>
  </numFmts>
  <fonts count="12">
    <font>
      <sz val="11.0"/>
      <color theme="1"/>
      <name val="Calibri"/>
      <scheme val="minor"/>
    </font>
    <font>
      <b/>
      <sz val="20.0"/>
      <color rgb="FF000000"/>
      <name val="Tahoma"/>
    </font>
    <font/>
    <font>
      <sz val="16.0"/>
      <color theme="1"/>
      <name val="Tahoma"/>
    </font>
    <font>
      <b/>
      <sz val="16.0"/>
      <color theme="1"/>
      <name val="Tahoma"/>
    </font>
    <font>
      <sz val="16.0"/>
      <color rgb="FF000000"/>
      <name val="Tahoma"/>
    </font>
    <font>
      <b/>
      <sz val="18.0"/>
      <color theme="1"/>
      <name val="Tahoma"/>
    </font>
    <font>
      <b/>
      <sz val="18.0"/>
      <color rgb="FF000000"/>
      <name val="Tahoma"/>
    </font>
    <font>
      <sz val="18.0"/>
      <color theme="1"/>
      <name val="Tahoma"/>
    </font>
    <font>
      <sz val="14.0"/>
      <color theme="1"/>
      <name val="Calibri"/>
    </font>
    <font>
      <sz val="18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4" xfId="0" applyAlignment="1" applyBorder="1" applyFont="1" applyNumberFormat="1">
      <alignment horizontal="center" vertical="top"/>
    </xf>
    <xf borderId="4" fillId="0" fontId="4" numFmtId="4" xfId="0" applyAlignment="1" applyBorder="1" applyFont="1" applyNumberFormat="1">
      <alignment horizontal="center" shrinkToFit="0" vertical="top" wrapText="1"/>
    </xf>
    <xf borderId="4" fillId="0" fontId="3" numFmtId="1" xfId="0" applyAlignment="1" applyBorder="1" applyFont="1" applyNumberFormat="1">
      <alignment horizontal="left"/>
    </xf>
    <xf borderId="4" fillId="0" fontId="5" numFmtId="0" xfId="0" applyAlignment="1" applyBorder="1" applyFont="1">
      <alignment horizontal="left" vertical="center"/>
    </xf>
    <xf borderId="4" fillId="0" fontId="3" numFmtId="4" xfId="0" applyBorder="1" applyFont="1" applyNumberFormat="1"/>
    <xf borderId="4" fillId="0" fontId="3" numFmtId="164" xfId="0" applyBorder="1" applyFont="1" applyNumberFormat="1"/>
    <xf borderId="4" fillId="0" fontId="3" numFmtId="165" xfId="0" applyBorder="1" applyFont="1" applyNumberFormat="1"/>
    <xf borderId="4" fillId="0" fontId="6" numFmtId="4" xfId="0" applyAlignment="1" applyBorder="1" applyFont="1" applyNumberFormat="1">
      <alignment vertical="center"/>
    </xf>
    <xf borderId="4" fillId="0" fontId="7" numFmtId="0" xfId="0" applyAlignment="1" applyBorder="1" applyFont="1">
      <alignment vertical="center"/>
    </xf>
    <xf borderId="0" fillId="0" fontId="8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4" numFmtId="0" xfId="0" applyFont="1"/>
    <xf borderId="0" fillId="0" fontId="4" numFmtId="164" xfId="0" applyFont="1" applyNumberFormat="1"/>
    <xf borderId="0" fillId="0" fontId="9" numFmtId="0" xfId="0" applyFont="1"/>
    <xf borderId="0" fillId="0" fontId="10" numFmtId="0" xfId="0" applyAlignment="1" applyFont="1">
      <alignment vertical="center"/>
    </xf>
    <xf borderId="0" fillId="0" fontId="11" numFmtId="0" xfId="0" applyAlignment="1" applyFont="1">
      <alignment vertical="top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8.29"/>
    <col customWidth="1" min="3" max="3" width="37.57"/>
    <col customWidth="1" min="4" max="4" width="35.14"/>
    <col customWidth="1" min="5" max="5" width="33.0"/>
    <col customWidth="1" min="6" max="6" width="35.14"/>
    <col customWidth="1" min="7" max="7" width="37.57"/>
    <col customWidth="1" min="8" max="8" width="35.14"/>
    <col customWidth="1" min="9" max="9" width="37.57"/>
    <col customWidth="1" min="10" max="26" width="8.86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7">
        <v>1.0</v>
      </c>
      <c r="B3" s="8" t="s">
        <v>10</v>
      </c>
      <c r="C3" s="9">
        <v>2.9634490910200005E9</v>
      </c>
      <c r="D3" s="9">
        <v>8.164089959E7</v>
      </c>
      <c r="E3" s="9">
        <v>1.3029846584E8</v>
      </c>
      <c r="F3" s="9">
        <v>3.9507923066999996E8</v>
      </c>
      <c r="G3" s="9">
        <f t="shared" ref="G3:G39" si="1">SUM(C3:F3)</f>
        <v>3570467687</v>
      </c>
      <c r="H3" s="9">
        <v>6.813066326800003E8</v>
      </c>
      <c r="I3" s="9">
        <f t="shared" ref="I3:I40" si="2">SUM(G3:H3)</f>
        <v>4251774320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7">
        <v>2.0</v>
      </c>
      <c r="B4" s="8" t="s">
        <v>11</v>
      </c>
      <c r="C4" s="9">
        <v>2.03846566006E9</v>
      </c>
      <c r="D4" s="9">
        <v>3.283202052E7</v>
      </c>
      <c r="E4" s="9">
        <v>3.4303077E7</v>
      </c>
      <c r="F4" s="9">
        <v>1.9186566143E8</v>
      </c>
      <c r="G4" s="9">
        <f t="shared" si="1"/>
        <v>2297466419</v>
      </c>
      <c r="H4" s="9">
        <v>8.1318365212E8</v>
      </c>
      <c r="I4" s="9">
        <f t="shared" si="2"/>
        <v>3110650071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7">
        <v>3.0</v>
      </c>
      <c r="B5" s="8" t="s">
        <v>12</v>
      </c>
      <c r="C5" s="9">
        <v>7.76735035714E9</v>
      </c>
      <c r="D5" s="9">
        <v>2.979188159E7</v>
      </c>
      <c r="E5" s="9">
        <v>3.98526125E8</v>
      </c>
      <c r="F5" s="9">
        <v>8.2700878785E8</v>
      </c>
      <c r="G5" s="9">
        <f t="shared" si="1"/>
        <v>9022677152</v>
      </c>
      <c r="H5" s="9">
        <v>1.2087343763E9</v>
      </c>
      <c r="I5" s="9">
        <f t="shared" si="2"/>
        <v>10231411528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7">
        <v>4.0</v>
      </c>
      <c r="B6" s="8" t="s">
        <v>13</v>
      </c>
      <c r="C6" s="9">
        <v>3.5815428269E9</v>
      </c>
      <c r="D6" s="9">
        <v>2.0651246854000002E8</v>
      </c>
      <c r="E6" s="9">
        <v>2.546704E8</v>
      </c>
      <c r="F6" s="9">
        <v>5.6006745611E8</v>
      </c>
      <c r="G6" s="9">
        <f t="shared" si="1"/>
        <v>4602793152</v>
      </c>
      <c r="H6" s="9">
        <v>1.93047937573E9</v>
      </c>
      <c r="I6" s="9">
        <f t="shared" si="2"/>
        <v>6533272527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7">
        <v>5.0</v>
      </c>
      <c r="B7" s="8" t="s">
        <v>14</v>
      </c>
      <c r="C7" s="9">
        <v>4.31872852286E9</v>
      </c>
      <c r="D7" s="9">
        <v>2.697020157E7</v>
      </c>
      <c r="E7" s="9">
        <v>2.46999E7</v>
      </c>
      <c r="F7" s="9">
        <v>1.0554054624000001E8</v>
      </c>
      <c r="G7" s="9">
        <f t="shared" si="1"/>
        <v>4475939171</v>
      </c>
      <c r="H7" s="9">
        <v>1.0707212323E8</v>
      </c>
      <c r="I7" s="9">
        <f t="shared" si="2"/>
        <v>4583011294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7">
        <v>6.0</v>
      </c>
      <c r="B8" s="8" t="s">
        <v>15</v>
      </c>
      <c r="C8" s="9">
        <v>2.60765099497E9</v>
      </c>
      <c r="D8" s="9">
        <v>4331785.4399999995</v>
      </c>
      <c r="E8" s="9">
        <v>9223981.22</v>
      </c>
      <c r="F8" s="9">
        <v>5.7104714922E8</v>
      </c>
      <c r="G8" s="9">
        <f t="shared" si="1"/>
        <v>3192253911</v>
      </c>
      <c r="H8" s="9">
        <v>4.737230057000001E7</v>
      </c>
      <c r="I8" s="9">
        <f t="shared" si="2"/>
        <v>3239626211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7">
        <v>7.0</v>
      </c>
      <c r="B9" s="8" t="s">
        <v>16</v>
      </c>
      <c r="C9" s="9">
        <v>2.18643604339E9</v>
      </c>
      <c r="D9" s="9">
        <v>3.5795088752E8</v>
      </c>
      <c r="E9" s="9">
        <v>5.517580988E7</v>
      </c>
      <c r="F9" s="9">
        <v>1.0443894E7</v>
      </c>
      <c r="G9" s="9">
        <f t="shared" si="1"/>
        <v>2610006635</v>
      </c>
      <c r="H9" s="9">
        <v>4.7106146343E8</v>
      </c>
      <c r="I9" s="9">
        <f t="shared" si="2"/>
        <v>3081068098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7">
        <v>8.0</v>
      </c>
      <c r="B10" s="8" t="s">
        <v>17</v>
      </c>
      <c r="C10" s="9">
        <v>3.190262218E9</v>
      </c>
      <c r="D10" s="9">
        <v>5.33082887E8</v>
      </c>
      <c r="E10" s="9">
        <v>6.68111E7</v>
      </c>
      <c r="F10" s="9">
        <v>4.46703494E8</v>
      </c>
      <c r="G10" s="9">
        <f t="shared" si="1"/>
        <v>4236859699</v>
      </c>
      <c r="H10" s="9">
        <v>6.52346052E8</v>
      </c>
      <c r="I10" s="9">
        <f t="shared" si="2"/>
        <v>4889205751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7">
        <v>9.0</v>
      </c>
      <c r="B11" s="8" t="s">
        <v>18</v>
      </c>
      <c r="C11" s="9">
        <v>1.85962451852E9</v>
      </c>
      <c r="D11" s="9">
        <v>2.76257097E7</v>
      </c>
      <c r="E11" s="9">
        <v>2.6951862248E8</v>
      </c>
      <c r="F11" s="9">
        <v>5.09113872733E9</v>
      </c>
      <c r="G11" s="9">
        <f t="shared" si="1"/>
        <v>7247907578</v>
      </c>
      <c r="H11" s="9">
        <v>1.10874105008E9</v>
      </c>
      <c r="I11" s="9">
        <f t="shared" si="2"/>
        <v>8356648628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7">
        <v>10.0</v>
      </c>
      <c r="B12" s="8" t="s">
        <v>19</v>
      </c>
      <c r="C12" s="9">
        <v>1.337797945143E10</v>
      </c>
      <c r="D12" s="9">
        <v>1.6448399307999998E8</v>
      </c>
      <c r="E12" s="9">
        <v>4.404969082E8</v>
      </c>
      <c r="F12" s="9">
        <v>1.5838712762600002E9</v>
      </c>
      <c r="G12" s="9">
        <f t="shared" si="1"/>
        <v>15566831629</v>
      </c>
      <c r="H12" s="9">
        <v>2.18138466567E9</v>
      </c>
      <c r="I12" s="9">
        <f t="shared" si="2"/>
        <v>17748216295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7">
        <v>11.0</v>
      </c>
      <c r="B13" s="8" t="s">
        <v>20</v>
      </c>
      <c r="C13" s="9">
        <v>3.1749231626400003E9</v>
      </c>
      <c r="D13" s="9">
        <v>1.1183500519E8</v>
      </c>
      <c r="E13" s="9">
        <v>9789537.1</v>
      </c>
      <c r="F13" s="9">
        <v>1.4911283894E8</v>
      </c>
      <c r="G13" s="9">
        <f t="shared" si="1"/>
        <v>3445660544</v>
      </c>
      <c r="H13" s="9">
        <v>1.4618984893100002E9</v>
      </c>
      <c r="I13" s="9">
        <f t="shared" si="2"/>
        <v>4907559033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7">
        <v>12.0</v>
      </c>
      <c r="B14" s="8" t="s">
        <v>21</v>
      </c>
      <c r="C14" s="9">
        <v>3.59904279023E9</v>
      </c>
      <c r="D14" s="9">
        <v>3.0697936731E8</v>
      </c>
      <c r="E14" s="9">
        <v>2.8310769324E8</v>
      </c>
      <c r="F14" s="9">
        <v>2.93857848463E9</v>
      </c>
      <c r="G14" s="9">
        <f t="shared" si="1"/>
        <v>7127708335</v>
      </c>
      <c r="H14" s="9">
        <v>1.25640616352E9</v>
      </c>
      <c r="I14" s="9">
        <f t="shared" si="2"/>
        <v>8384114499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7">
        <v>13.0</v>
      </c>
      <c r="B15" s="8" t="s">
        <v>22</v>
      </c>
      <c r="C15" s="9">
        <v>1.72874598261E9</v>
      </c>
      <c r="D15" s="9">
        <v>9.668740824E7</v>
      </c>
      <c r="E15" s="9">
        <v>4.1483975E7</v>
      </c>
      <c r="F15" s="9">
        <v>1.9528597071E8</v>
      </c>
      <c r="G15" s="9">
        <f t="shared" si="1"/>
        <v>2062203337</v>
      </c>
      <c r="H15" s="9">
        <v>2.9595096953000003E8</v>
      </c>
      <c r="I15" s="9">
        <f t="shared" si="2"/>
        <v>2358154306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7">
        <v>14.0</v>
      </c>
      <c r="B16" s="8" t="s">
        <v>23</v>
      </c>
      <c r="C16" s="9">
        <v>4.284389131E9</v>
      </c>
      <c r="D16" s="9">
        <v>4.5282875E7</v>
      </c>
      <c r="E16" s="9">
        <v>1.72689947E8</v>
      </c>
      <c r="F16" s="9">
        <v>3.58513153E8</v>
      </c>
      <c r="G16" s="9">
        <f t="shared" si="1"/>
        <v>4860875106</v>
      </c>
      <c r="H16" s="9">
        <v>2.250541765E9</v>
      </c>
      <c r="I16" s="9">
        <f t="shared" si="2"/>
        <v>7111416871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7">
        <v>15.0</v>
      </c>
      <c r="B17" s="8" t="s">
        <v>24</v>
      </c>
      <c r="C17" s="9">
        <v>9.0782845981E8</v>
      </c>
      <c r="D17" s="9">
        <v>1.002040948E7</v>
      </c>
      <c r="E17" s="9">
        <v>1.0806617475E8</v>
      </c>
      <c r="F17" s="9">
        <v>1.40036445746E9</v>
      </c>
      <c r="G17" s="9">
        <f t="shared" si="1"/>
        <v>2426279502</v>
      </c>
      <c r="H17" s="9">
        <v>2.6060012316E8</v>
      </c>
      <c r="I17" s="9">
        <f t="shared" si="2"/>
        <v>2686879625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7">
        <v>16.0</v>
      </c>
      <c r="B18" s="8" t="s">
        <v>25</v>
      </c>
      <c r="C18" s="9">
        <v>4.31741278806E9</v>
      </c>
      <c r="D18" s="9">
        <v>8.14842299E7</v>
      </c>
      <c r="E18" s="9">
        <v>8.935653918E7</v>
      </c>
      <c r="F18" s="9">
        <v>1.5711118968E8</v>
      </c>
      <c r="G18" s="9">
        <f t="shared" si="1"/>
        <v>4645364747</v>
      </c>
      <c r="H18" s="9">
        <v>9.1796742212E8</v>
      </c>
      <c r="I18" s="9">
        <f t="shared" si="2"/>
        <v>5563332169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7">
        <v>17.0</v>
      </c>
      <c r="B19" s="8" t="s">
        <v>26</v>
      </c>
      <c r="C19" s="9">
        <v>1.26346281797E9</v>
      </c>
      <c r="D19" s="9">
        <v>1.0636289342E8</v>
      </c>
      <c r="E19" s="9">
        <v>4.481045706E7</v>
      </c>
      <c r="F19" s="9">
        <v>5.3443439962E8</v>
      </c>
      <c r="G19" s="9">
        <f t="shared" si="1"/>
        <v>1949070568</v>
      </c>
      <c r="H19" s="9">
        <v>1.45673275379E9</v>
      </c>
      <c r="I19" s="9">
        <f t="shared" si="2"/>
        <v>3405803322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7">
        <v>18.0</v>
      </c>
      <c r="B20" s="8" t="s">
        <v>27</v>
      </c>
      <c r="C20" s="9">
        <v>3.36711917571E9</v>
      </c>
      <c r="D20" s="9">
        <v>1.1885467121E8</v>
      </c>
      <c r="E20" s="9">
        <v>1.6384123464E8</v>
      </c>
      <c r="F20" s="9">
        <v>2.13076054776E9</v>
      </c>
      <c r="G20" s="9">
        <f t="shared" si="1"/>
        <v>5780575629</v>
      </c>
      <c r="H20" s="9">
        <v>2.772862143E9</v>
      </c>
      <c r="I20" s="9">
        <f t="shared" si="2"/>
        <v>8553437772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7">
        <v>19.0</v>
      </c>
      <c r="B21" s="8" t="s">
        <v>28</v>
      </c>
      <c r="C21" s="9">
        <v>3.6097345955E9</v>
      </c>
      <c r="D21" s="9">
        <v>2.0408022408E8</v>
      </c>
      <c r="E21" s="9">
        <v>1.8450632094E8</v>
      </c>
      <c r="F21" s="9">
        <v>6.7939848861E8</v>
      </c>
      <c r="G21" s="9">
        <f t="shared" si="1"/>
        <v>4677719629</v>
      </c>
      <c r="H21" s="9">
        <v>1.54113924454E9</v>
      </c>
      <c r="I21" s="9">
        <f t="shared" si="2"/>
        <v>6218858874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7">
        <v>20.0</v>
      </c>
      <c r="B22" s="8" t="s">
        <v>29</v>
      </c>
      <c r="C22" s="9">
        <v>1.703197845E9</v>
      </c>
      <c r="D22" s="9">
        <v>1.2211953E7</v>
      </c>
      <c r="E22" s="9">
        <v>4.667646E7</v>
      </c>
      <c r="F22" s="9">
        <v>8.1889191E7</v>
      </c>
      <c r="G22" s="9">
        <f t="shared" si="1"/>
        <v>1843975449</v>
      </c>
      <c r="H22" s="9">
        <v>4.69487533E8</v>
      </c>
      <c r="I22" s="9">
        <f t="shared" si="2"/>
        <v>2313462982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7">
        <v>21.0</v>
      </c>
      <c r="B23" s="8" t="s">
        <v>30</v>
      </c>
      <c r="C23" s="9">
        <v>1.0891502676E9</v>
      </c>
      <c r="D23" s="9">
        <v>2.0520723465E8</v>
      </c>
      <c r="E23" s="9">
        <v>1.46812725E7</v>
      </c>
      <c r="F23" s="9">
        <v>9.6155289072E8</v>
      </c>
      <c r="G23" s="9">
        <f t="shared" si="1"/>
        <v>2270591665</v>
      </c>
      <c r="H23" s="9">
        <v>1.10162124109E9</v>
      </c>
      <c r="I23" s="9">
        <f t="shared" si="2"/>
        <v>3372212907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7">
        <v>22.0</v>
      </c>
      <c r="B24" s="8" t="s">
        <v>31</v>
      </c>
      <c r="C24" s="9">
        <v>2.02297979321E9</v>
      </c>
      <c r="D24" s="9">
        <v>1.174999199E7</v>
      </c>
      <c r="E24" s="9">
        <v>1.1627298366E8</v>
      </c>
      <c r="F24" s="9">
        <v>1.6875420828400002E9</v>
      </c>
      <c r="G24" s="9">
        <f t="shared" si="1"/>
        <v>3838544852</v>
      </c>
      <c r="H24" s="9">
        <v>4.9209965294E8</v>
      </c>
      <c r="I24" s="9">
        <f t="shared" si="2"/>
        <v>4330644505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7">
        <v>23.0</v>
      </c>
      <c r="B25" s="8" t="s">
        <v>32</v>
      </c>
      <c r="C25" s="9">
        <v>2.53230426E9</v>
      </c>
      <c r="D25" s="9">
        <v>3.1519874807E8</v>
      </c>
      <c r="E25" s="9">
        <v>1.42475468E8</v>
      </c>
      <c r="F25" s="9">
        <v>7.950901399300009E7</v>
      </c>
      <c r="G25" s="9">
        <f t="shared" si="1"/>
        <v>3069487490</v>
      </c>
      <c r="H25" s="9">
        <v>6.52861508018E9</v>
      </c>
      <c r="I25" s="9">
        <f t="shared" si="2"/>
        <v>9598102570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7">
        <v>24.0</v>
      </c>
      <c r="B26" s="8" t="s">
        <v>33</v>
      </c>
      <c r="C26" s="9">
        <v>7.844300037559E10</v>
      </c>
      <c r="D26" s="9">
        <v>6.17113228374E9</v>
      </c>
      <c r="E26" s="9">
        <v>3.1302884566E9</v>
      </c>
      <c r="F26" s="9">
        <v>2.215401157459E10</v>
      </c>
      <c r="G26" s="9">
        <f t="shared" si="1"/>
        <v>109898432691</v>
      </c>
      <c r="H26" s="9">
        <v>1.806388245444E10</v>
      </c>
      <c r="I26" s="9">
        <f t="shared" si="2"/>
        <v>127962315145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7">
        <v>25.0</v>
      </c>
      <c r="B27" s="8" t="s">
        <v>34</v>
      </c>
      <c r="C27" s="9">
        <v>3.48000387349E9</v>
      </c>
      <c r="D27" s="9">
        <v>1.408459078E7</v>
      </c>
      <c r="E27" s="9">
        <v>1.29380402E8</v>
      </c>
      <c r="F27" s="9">
        <v>2.486897024E7</v>
      </c>
      <c r="G27" s="9">
        <f t="shared" si="1"/>
        <v>3648337837</v>
      </c>
      <c r="H27" s="9">
        <v>2.13200068687E9</v>
      </c>
      <c r="I27" s="9">
        <f t="shared" si="2"/>
        <v>5780338523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7">
        <v>26.0</v>
      </c>
      <c r="B28" s="8" t="s">
        <v>35</v>
      </c>
      <c r="C28" s="9">
        <v>1.32941457671E9</v>
      </c>
      <c r="D28" s="9">
        <v>5.047552053E7</v>
      </c>
      <c r="E28" s="9">
        <v>7.0861769E7</v>
      </c>
      <c r="F28" s="9">
        <v>5.0902922114E8</v>
      </c>
      <c r="G28" s="9">
        <f t="shared" si="1"/>
        <v>1959781087</v>
      </c>
      <c r="H28" s="9">
        <v>1.9045443166E8</v>
      </c>
      <c r="I28" s="9">
        <f t="shared" si="2"/>
        <v>2150235519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7">
        <v>27.0</v>
      </c>
      <c r="B29" s="8" t="s">
        <v>36</v>
      </c>
      <c r="C29" s="10">
        <v>7.33805841177E9</v>
      </c>
      <c r="D29" s="10">
        <v>7.710223540799994E8</v>
      </c>
      <c r="E29" s="10">
        <v>2.5225331929000002E8</v>
      </c>
      <c r="F29" s="10">
        <v>7.824176817199998E8</v>
      </c>
      <c r="G29" s="9">
        <f t="shared" si="1"/>
        <v>9143751767</v>
      </c>
      <c r="H29" s="10">
        <v>9.165560333900002E9</v>
      </c>
      <c r="I29" s="9">
        <f t="shared" si="2"/>
        <v>18309312101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7">
        <v>28.0</v>
      </c>
      <c r="B30" s="8" t="s">
        <v>37</v>
      </c>
      <c r="C30" s="9">
        <v>2.44002960289E9</v>
      </c>
      <c r="D30" s="9">
        <v>1.7211120241000003E8</v>
      </c>
      <c r="E30" s="9">
        <v>3.1588504799E8</v>
      </c>
      <c r="F30" s="9">
        <v>1.6774318710300002E9</v>
      </c>
      <c r="G30" s="9">
        <f t="shared" si="1"/>
        <v>4605457724</v>
      </c>
      <c r="H30" s="9">
        <v>9.519889663E8</v>
      </c>
      <c r="I30" s="9">
        <f t="shared" si="2"/>
        <v>5557446691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7">
        <v>29.0</v>
      </c>
      <c r="B31" s="8" t="s">
        <v>38</v>
      </c>
      <c r="C31" s="11">
        <v>3.67451525099E9</v>
      </c>
      <c r="D31" s="11">
        <v>2.048931299E8</v>
      </c>
      <c r="E31" s="11">
        <v>1.4366493085000002E8</v>
      </c>
      <c r="F31" s="11">
        <v>9.795814059E7</v>
      </c>
      <c r="G31" s="9">
        <f t="shared" si="1"/>
        <v>4121031452</v>
      </c>
      <c r="H31" s="9">
        <v>2.28074452655E9</v>
      </c>
      <c r="I31" s="9">
        <f t="shared" si="2"/>
        <v>6401775979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7">
        <v>30.0</v>
      </c>
      <c r="B32" s="8" t="s">
        <v>39</v>
      </c>
      <c r="C32" s="9">
        <v>9.13754167888E9</v>
      </c>
      <c r="D32" s="9">
        <v>3.6359299676E8</v>
      </c>
      <c r="E32" s="9">
        <v>2.7084289946000004E8</v>
      </c>
      <c r="F32" s="9">
        <v>6.280241666700001E8</v>
      </c>
      <c r="G32" s="9">
        <f t="shared" si="1"/>
        <v>10400001742</v>
      </c>
      <c r="H32" s="9">
        <v>1.93582134267E9</v>
      </c>
      <c r="I32" s="9">
        <f t="shared" si="2"/>
        <v>12335823084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7">
        <v>31.0</v>
      </c>
      <c r="B33" s="8" t="s">
        <v>40</v>
      </c>
      <c r="C33" s="9">
        <v>5.971469581860001E9</v>
      </c>
      <c r="D33" s="9">
        <v>2.436931947E7</v>
      </c>
      <c r="E33" s="9">
        <v>1.537583E8</v>
      </c>
      <c r="F33" s="9">
        <v>3.9404950258000004E8</v>
      </c>
      <c r="G33" s="9">
        <f t="shared" si="1"/>
        <v>6543646704</v>
      </c>
      <c r="H33" s="9">
        <v>9.408827891600001E8</v>
      </c>
      <c r="I33" s="9">
        <f t="shared" si="2"/>
        <v>7484529493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">
        <v>32.0</v>
      </c>
      <c r="B34" s="8" t="s">
        <v>41</v>
      </c>
      <c r="C34" s="9">
        <v>2.898068721886E10</v>
      </c>
      <c r="D34" s="9">
        <v>2.559152908E8</v>
      </c>
      <c r="E34" s="9">
        <v>979925.0</v>
      </c>
      <c r="F34" s="9">
        <v>2.22267341798E9</v>
      </c>
      <c r="G34" s="9">
        <f t="shared" si="1"/>
        <v>31460255853</v>
      </c>
      <c r="H34" s="9">
        <v>1.60421494065E9</v>
      </c>
      <c r="I34" s="9">
        <f t="shared" si="2"/>
        <v>33064470793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7">
        <v>33.0</v>
      </c>
      <c r="B35" s="8" t="s">
        <v>42</v>
      </c>
      <c r="C35" s="9">
        <v>3.07230438117E9</v>
      </c>
      <c r="D35" s="9">
        <v>1.9526999E7</v>
      </c>
      <c r="E35" s="9">
        <v>1.231531E7</v>
      </c>
      <c r="F35" s="9">
        <v>3.0980725082E8</v>
      </c>
      <c r="G35" s="9">
        <f t="shared" si="1"/>
        <v>3413953941</v>
      </c>
      <c r="H35" s="9">
        <v>3.4719680311E8</v>
      </c>
      <c r="I35" s="9">
        <f t="shared" si="2"/>
        <v>3761150744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">
        <v>34.0</v>
      </c>
      <c r="B36" s="8" t="s">
        <v>43</v>
      </c>
      <c r="C36" s="9">
        <v>8.4537823388E8</v>
      </c>
      <c r="D36" s="9">
        <v>4.235172226E7</v>
      </c>
      <c r="E36" s="9">
        <v>3.9506E7</v>
      </c>
      <c r="F36" s="9">
        <v>1.239264272E7</v>
      </c>
      <c r="G36" s="9">
        <f t="shared" si="1"/>
        <v>939628598.9</v>
      </c>
      <c r="H36" s="9">
        <v>9.8269909185E8</v>
      </c>
      <c r="I36" s="9">
        <f t="shared" si="2"/>
        <v>1922327691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7">
        <v>35.0</v>
      </c>
      <c r="B37" s="8" t="s">
        <v>44</v>
      </c>
      <c r="C37" s="9">
        <v>1.84431565733E9</v>
      </c>
      <c r="D37" s="9">
        <v>6220362.0</v>
      </c>
      <c r="E37" s="9">
        <v>2.176606E7</v>
      </c>
      <c r="F37" s="9">
        <v>4.773653136E7</v>
      </c>
      <c r="G37" s="9">
        <f t="shared" si="1"/>
        <v>1920038611</v>
      </c>
      <c r="H37" s="9">
        <v>2.5769703741999996E8</v>
      </c>
      <c r="I37" s="9">
        <f t="shared" si="2"/>
        <v>2177735648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">
        <v>36.0</v>
      </c>
      <c r="B38" s="8" t="s">
        <v>45</v>
      </c>
      <c r="C38" s="9">
        <v>2.18202773671E9</v>
      </c>
      <c r="D38" s="9">
        <v>3.9011421845E8</v>
      </c>
      <c r="E38" s="9">
        <v>4.7390266E8</v>
      </c>
      <c r="F38" s="9">
        <v>5.2518432043999994E8</v>
      </c>
      <c r="G38" s="9">
        <f t="shared" si="1"/>
        <v>3571228936</v>
      </c>
      <c r="H38" s="9">
        <v>5.460338123199999E8</v>
      </c>
      <c r="I38" s="9">
        <f t="shared" si="2"/>
        <v>4117262748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7">
        <v>37.0</v>
      </c>
      <c r="B39" s="8" t="s">
        <v>46</v>
      </c>
      <c r="C39" s="9">
        <v>2.756663944502E10</v>
      </c>
      <c r="D39" s="9">
        <v>1.43256949771E9</v>
      </c>
      <c r="E39" s="9">
        <v>0.0</v>
      </c>
      <c r="F39" s="9">
        <v>3.4065461755E9</v>
      </c>
      <c r="G39" s="9">
        <f t="shared" si="1"/>
        <v>32405755118</v>
      </c>
      <c r="H39" s="9">
        <v>0.0</v>
      </c>
      <c r="I39" s="9">
        <f t="shared" si="2"/>
        <v>32405755118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2"/>
      <c r="B40" s="13" t="s">
        <v>47</v>
      </c>
      <c r="C40" s="12">
        <f t="shared" ref="C40:H40" si="3">SUM(C3:C39)</f>
        <v>253797166779</v>
      </c>
      <c r="D40" s="12">
        <f t="shared" si="3"/>
        <v>13009557234</v>
      </c>
      <c r="E40" s="12">
        <f t="shared" si="3"/>
        <v>8116887533</v>
      </c>
      <c r="F40" s="12">
        <f t="shared" si="3"/>
        <v>53928950399</v>
      </c>
      <c r="G40" s="12">
        <f t="shared" si="3"/>
        <v>328852561945</v>
      </c>
      <c r="H40" s="12">
        <f t="shared" si="3"/>
        <v>69406781490</v>
      </c>
      <c r="I40" s="12">
        <f t="shared" si="2"/>
        <v>398259343435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>
        <v>1.0</v>
      </c>
      <c r="B43" s="4" t="s">
        <v>48</v>
      </c>
      <c r="C43" s="15">
        <f t="shared" ref="C43:I43" si="4">SUM(C29:C32,C15,C26)</f>
        <v>102761891303</v>
      </c>
      <c r="D43" s="15">
        <f t="shared" si="4"/>
        <v>7779439375</v>
      </c>
      <c r="E43" s="15">
        <f t="shared" si="4"/>
        <v>4154418629</v>
      </c>
      <c r="F43" s="15">
        <f t="shared" si="4"/>
        <v>25535129405</v>
      </c>
      <c r="G43" s="15">
        <f t="shared" si="4"/>
        <v>140230878712</v>
      </c>
      <c r="H43" s="15">
        <f t="shared" si="4"/>
        <v>32693948593</v>
      </c>
      <c r="I43" s="15">
        <f t="shared" si="4"/>
        <v>172924827306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>
        <v>2.0</v>
      </c>
      <c r="B44" s="4" t="s">
        <v>49</v>
      </c>
      <c r="C44" s="16">
        <f t="shared" ref="C44:I44" si="5">SUM(C34,C14,C12,C11,C8,C5)</f>
        <v>58192335331</v>
      </c>
      <c r="D44" s="16">
        <f t="shared" si="5"/>
        <v>789128027.9</v>
      </c>
      <c r="E44" s="16">
        <f t="shared" si="5"/>
        <v>1401853255</v>
      </c>
      <c r="F44" s="16">
        <f t="shared" si="5"/>
        <v>13234317843</v>
      </c>
      <c r="G44" s="16">
        <f t="shared" si="5"/>
        <v>73617634457</v>
      </c>
      <c r="H44" s="16">
        <f t="shared" si="5"/>
        <v>7406853497</v>
      </c>
      <c r="I44" s="16">
        <f t="shared" si="5"/>
        <v>81024487954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>
        <v>3.0</v>
      </c>
      <c r="B45" s="4" t="s">
        <v>50</v>
      </c>
      <c r="C45" s="16">
        <f t="shared" ref="C45:I45" si="6">SUM(C18,C16,C13,C3,C6)</f>
        <v>18321717000</v>
      </c>
      <c r="D45" s="16">
        <f t="shared" si="6"/>
        <v>526755478.2</v>
      </c>
      <c r="E45" s="16">
        <f t="shared" si="6"/>
        <v>656804889.1</v>
      </c>
      <c r="F45" s="16">
        <f t="shared" si="6"/>
        <v>1619883868</v>
      </c>
      <c r="G45" s="16">
        <f t="shared" si="6"/>
        <v>21125161235</v>
      </c>
      <c r="H45" s="16">
        <f t="shared" si="6"/>
        <v>7242193685</v>
      </c>
      <c r="I45" s="16">
        <f t="shared" si="6"/>
        <v>28367354920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>
        <v>4.0</v>
      </c>
      <c r="B46" s="4" t="s">
        <v>51</v>
      </c>
      <c r="C46" s="16">
        <f t="shared" ref="C46:I46" si="7">SUM(C39,C33,C28,C27,C25,C24,C9)</f>
        <v>45089247574</v>
      </c>
      <c r="D46" s="16">
        <f t="shared" si="7"/>
        <v>2206398556</v>
      </c>
      <c r="E46" s="16">
        <f t="shared" si="7"/>
        <v>667924732.5</v>
      </c>
      <c r="F46" s="16">
        <f t="shared" si="7"/>
        <v>6111988860</v>
      </c>
      <c r="G46" s="16">
        <f t="shared" si="7"/>
        <v>54075559723</v>
      </c>
      <c r="H46" s="16">
        <f t="shared" si="7"/>
        <v>10755114104</v>
      </c>
      <c r="I46" s="16">
        <f t="shared" si="7"/>
        <v>64830673827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>
        <v>5.0</v>
      </c>
      <c r="B47" s="4" t="s">
        <v>52</v>
      </c>
      <c r="C47" s="16">
        <f t="shared" ref="C47:I47" si="8">SUM(C38,C37,C35,C19:C22)</f>
        <v>17042162209</v>
      </c>
      <c r="D47" s="16">
        <f t="shared" si="8"/>
        <v>857371321.2</v>
      </c>
      <c r="E47" s="16">
        <f t="shared" si="8"/>
        <v>947818502.6</v>
      </c>
      <c r="F47" s="16">
        <f t="shared" si="8"/>
        <v>4309210730</v>
      </c>
      <c r="G47" s="16">
        <f t="shared" si="8"/>
        <v>23156562763</v>
      </c>
      <c r="H47" s="16">
        <f t="shared" si="8"/>
        <v>7391149327</v>
      </c>
      <c r="I47" s="16">
        <f t="shared" si="8"/>
        <v>30547712090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>
        <v>6.0</v>
      </c>
      <c r="B48" s="4" t="s">
        <v>53</v>
      </c>
      <c r="C48" s="16">
        <f t="shared" ref="C48:I48" si="9">SUM(C36,C23,C17,C10,C7,C4)</f>
        <v>12389813362</v>
      </c>
      <c r="D48" s="16">
        <f t="shared" si="9"/>
        <v>850464475.5</v>
      </c>
      <c r="E48" s="16">
        <f t="shared" si="9"/>
        <v>288067524.3</v>
      </c>
      <c r="F48" s="16">
        <f t="shared" si="9"/>
        <v>3118419693</v>
      </c>
      <c r="G48" s="16">
        <f t="shared" si="9"/>
        <v>16646765055</v>
      </c>
      <c r="H48" s="16">
        <f t="shared" si="9"/>
        <v>3917522283</v>
      </c>
      <c r="I48" s="16">
        <f t="shared" si="9"/>
        <v>20564287338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17" t="s">
        <v>54</v>
      </c>
      <c r="C49" s="18">
        <f t="shared" ref="C49:I49" si="10">SUM(C43:C48)</f>
        <v>253797166779</v>
      </c>
      <c r="D49" s="18">
        <f t="shared" si="10"/>
        <v>13009557234</v>
      </c>
      <c r="E49" s="18">
        <f t="shared" si="10"/>
        <v>8116887533</v>
      </c>
      <c r="F49" s="18">
        <f t="shared" si="10"/>
        <v>53928950399</v>
      </c>
      <c r="G49" s="18">
        <f t="shared" si="10"/>
        <v>328852561945</v>
      </c>
      <c r="H49" s="18">
        <f t="shared" si="10"/>
        <v>69406781490</v>
      </c>
      <c r="I49" s="18">
        <f t="shared" si="10"/>
        <v>398259343435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printOptions horizontalCentered="1"/>
  <pageMargins bottom="0.35433070866141736" footer="0.0" header="0.0" left="0.1968503937007874" right="0.11811023622047245" top="0.35433070866141736"/>
  <pageSetup paperSize="9" scale="5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8.29"/>
    <col customWidth="1" min="3" max="3" width="39.57"/>
    <col customWidth="1" min="4" max="4" width="37.14"/>
    <col customWidth="1" min="5" max="5" width="34.71"/>
    <col customWidth="1" min="6" max="6" width="37.14"/>
    <col customWidth="1" min="7" max="9" width="39.57"/>
    <col customWidth="1" min="10" max="26" width="8.71"/>
  </cols>
  <sheetData>
    <row r="1" ht="30.0" customHeight="1">
      <c r="A1" s="1" t="s">
        <v>55</v>
      </c>
      <c r="B1" s="2"/>
      <c r="C1" s="2"/>
      <c r="D1" s="2"/>
      <c r="E1" s="2"/>
      <c r="F1" s="2"/>
      <c r="G1" s="2"/>
      <c r="H1" s="2"/>
      <c r="I1" s="3"/>
    </row>
    <row r="2" ht="22.5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2.5" customHeight="1">
      <c r="A3" s="7">
        <v>1.0</v>
      </c>
      <c r="B3" s="8" t="s">
        <v>10</v>
      </c>
      <c r="C3" s="9">
        <v>2.69593442551E9</v>
      </c>
      <c r="D3" s="9">
        <v>5.8937015E7</v>
      </c>
      <c r="E3" s="9">
        <v>1.02928885E8</v>
      </c>
      <c r="F3" s="9">
        <v>1.863751967E8</v>
      </c>
      <c r="G3" s="9">
        <f t="shared" ref="G3:G39" si="1">SUM(C3:F3)</f>
        <v>3044175522</v>
      </c>
      <c r="H3" s="9">
        <v>2.541619625E8</v>
      </c>
      <c r="I3" s="9">
        <f t="shared" ref="I3:I40" si="2">SUM(G3:H3)</f>
        <v>3298337485</v>
      </c>
    </row>
    <row r="4" ht="22.5" customHeight="1">
      <c r="A4" s="7">
        <v>2.0</v>
      </c>
      <c r="B4" s="8" t="s">
        <v>11</v>
      </c>
      <c r="C4" s="9">
        <v>1.23671560631E9</v>
      </c>
      <c r="D4" s="9">
        <v>1.8107095E7</v>
      </c>
      <c r="E4" s="9">
        <v>2.1947325E7</v>
      </c>
      <c r="F4" s="9">
        <v>6.1362288447E8</v>
      </c>
      <c r="G4" s="9">
        <f t="shared" si="1"/>
        <v>1890392911</v>
      </c>
      <c r="H4" s="9">
        <v>1.08553302671E9</v>
      </c>
      <c r="I4" s="9">
        <f t="shared" si="2"/>
        <v>2975925937</v>
      </c>
    </row>
    <row r="5" ht="22.5" customHeight="1">
      <c r="A5" s="7">
        <v>3.0</v>
      </c>
      <c r="B5" s="8" t="s">
        <v>12</v>
      </c>
      <c r="C5" s="9">
        <v>5.61126144779E9</v>
      </c>
      <c r="D5" s="9">
        <v>3.691734618E7</v>
      </c>
      <c r="E5" s="9">
        <v>8.464465E7</v>
      </c>
      <c r="F5" s="9">
        <v>7.7968962199E8</v>
      </c>
      <c r="G5" s="9">
        <f t="shared" si="1"/>
        <v>6512513066</v>
      </c>
      <c r="H5" s="9">
        <v>1.35062580792E9</v>
      </c>
      <c r="I5" s="9">
        <f t="shared" si="2"/>
        <v>7863138874</v>
      </c>
    </row>
    <row r="6" ht="22.5" customHeight="1">
      <c r="A6" s="7">
        <v>4.0</v>
      </c>
      <c r="B6" s="8" t="s">
        <v>13</v>
      </c>
      <c r="C6" s="9">
        <v>3.99881617535E9</v>
      </c>
      <c r="D6" s="9">
        <v>1.5285595139E8</v>
      </c>
      <c r="E6" s="9">
        <v>1.78006475E8</v>
      </c>
      <c r="F6" s="9">
        <v>6.8001893404E8</v>
      </c>
      <c r="G6" s="9">
        <f t="shared" si="1"/>
        <v>5009697536</v>
      </c>
      <c r="H6" s="9">
        <v>1.23018529507E9</v>
      </c>
      <c r="I6" s="9">
        <f t="shared" si="2"/>
        <v>6239882831</v>
      </c>
    </row>
    <row r="7" ht="22.5" customHeight="1">
      <c r="A7" s="7">
        <v>5.0</v>
      </c>
      <c r="B7" s="8" t="s">
        <v>14</v>
      </c>
      <c r="C7" s="9">
        <v>4.43590662404E9</v>
      </c>
      <c r="D7" s="9">
        <v>6109536.84</v>
      </c>
      <c r="E7" s="9">
        <v>2.2790675E7</v>
      </c>
      <c r="F7" s="9">
        <v>2.9449558953E8</v>
      </c>
      <c r="G7" s="9">
        <f t="shared" si="1"/>
        <v>4759302425</v>
      </c>
      <c r="H7" s="9">
        <v>1.2497530094E8</v>
      </c>
      <c r="I7" s="9">
        <f t="shared" si="2"/>
        <v>4884277726</v>
      </c>
    </row>
    <row r="8" ht="22.5" customHeight="1">
      <c r="A8" s="7">
        <v>6.0</v>
      </c>
      <c r="B8" s="8" t="s">
        <v>15</v>
      </c>
      <c r="C8" s="9">
        <v>2.66279699601E9</v>
      </c>
      <c r="D8" s="9">
        <v>1.442296667E7</v>
      </c>
      <c r="E8" s="9">
        <v>1.372858443E7</v>
      </c>
      <c r="F8" s="9">
        <v>4.5586858339000005E8</v>
      </c>
      <c r="G8" s="9">
        <f t="shared" si="1"/>
        <v>3146817131</v>
      </c>
      <c r="H8" s="9">
        <v>2.884948836E7</v>
      </c>
      <c r="I8" s="9">
        <f t="shared" si="2"/>
        <v>3175666619</v>
      </c>
    </row>
    <row r="9" ht="22.5" customHeight="1">
      <c r="A9" s="7">
        <v>7.0</v>
      </c>
      <c r="B9" s="8" t="s">
        <v>16</v>
      </c>
      <c r="C9" s="9">
        <v>1.56247038081E9</v>
      </c>
      <c r="D9" s="9">
        <v>4.0692860851E8</v>
      </c>
      <c r="E9" s="9">
        <v>4.7503313E7</v>
      </c>
      <c r="F9" s="9">
        <v>1.137457555E7</v>
      </c>
      <c r="G9" s="9">
        <f t="shared" si="1"/>
        <v>2028276878</v>
      </c>
      <c r="H9" s="9">
        <v>1.59823277259E9</v>
      </c>
      <c r="I9" s="9">
        <f t="shared" si="2"/>
        <v>3626509650</v>
      </c>
    </row>
    <row r="10" ht="22.5" customHeight="1">
      <c r="A10" s="7">
        <v>8.0</v>
      </c>
      <c r="B10" s="8" t="s">
        <v>17</v>
      </c>
      <c r="C10" s="9">
        <v>3.76201829216E9</v>
      </c>
      <c r="D10" s="9">
        <v>3.4419831621E8</v>
      </c>
      <c r="E10" s="9">
        <v>4.347885E7</v>
      </c>
      <c r="F10" s="9">
        <v>1.9245375E8</v>
      </c>
      <c r="G10" s="9">
        <f t="shared" si="1"/>
        <v>4342149208</v>
      </c>
      <c r="H10" s="9">
        <v>5.7959541435E8</v>
      </c>
      <c r="I10" s="9">
        <f t="shared" si="2"/>
        <v>4921744623</v>
      </c>
    </row>
    <row r="11" ht="22.5" customHeight="1">
      <c r="A11" s="7">
        <v>9.0</v>
      </c>
      <c r="B11" s="8" t="s">
        <v>18</v>
      </c>
      <c r="C11" s="9">
        <v>2.32096371738E9</v>
      </c>
      <c r="D11" s="9">
        <v>3.491370331E7</v>
      </c>
      <c r="E11" s="9">
        <v>1.9268049081E8</v>
      </c>
      <c r="F11" s="9">
        <v>3.02215657817E9</v>
      </c>
      <c r="G11" s="9">
        <f t="shared" si="1"/>
        <v>5570714490</v>
      </c>
      <c r="H11" s="9">
        <v>8.3082237272E8</v>
      </c>
      <c r="I11" s="9">
        <f t="shared" si="2"/>
        <v>6401536862</v>
      </c>
    </row>
    <row r="12" ht="22.5" customHeight="1">
      <c r="A12" s="7">
        <v>10.0</v>
      </c>
      <c r="B12" s="8" t="s">
        <v>19</v>
      </c>
      <c r="C12" s="9">
        <v>1.3934970563189999E10</v>
      </c>
      <c r="D12" s="9">
        <v>1.5490185963E8</v>
      </c>
      <c r="E12" s="9">
        <v>5.0697737096000004E8</v>
      </c>
      <c r="F12" s="9">
        <v>4.5955182706E9</v>
      </c>
      <c r="G12" s="9">
        <f t="shared" si="1"/>
        <v>19192368064</v>
      </c>
      <c r="H12" s="9">
        <v>4.99359839178E9</v>
      </c>
      <c r="I12" s="9">
        <f t="shared" si="2"/>
        <v>24185966456</v>
      </c>
    </row>
    <row r="13" ht="22.5" customHeight="1">
      <c r="A13" s="7">
        <v>11.0</v>
      </c>
      <c r="B13" s="8" t="s">
        <v>20</v>
      </c>
      <c r="C13" s="9">
        <v>1.15178275437E9</v>
      </c>
      <c r="D13" s="9">
        <v>1.14839158E7</v>
      </c>
      <c r="E13" s="9">
        <v>3.63582E7</v>
      </c>
      <c r="F13" s="9">
        <v>1.3446493286E8</v>
      </c>
      <c r="G13" s="9">
        <f t="shared" si="1"/>
        <v>1334089803</v>
      </c>
      <c r="H13" s="9">
        <v>1.51168340983E9</v>
      </c>
      <c r="I13" s="9">
        <f t="shared" si="2"/>
        <v>2845773213</v>
      </c>
    </row>
    <row r="14" ht="22.5" customHeight="1">
      <c r="A14" s="7">
        <v>12.0</v>
      </c>
      <c r="B14" s="8" t="s">
        <v>21</v>
      </c>
      <c r="C14" s="9">
        <v>3.53120276346E9</v>
      </c>
      <c r="D14" s="9">
        <v>2.8840740772E8</v>
      </c>
      <c r="E14" s="9">
        <v>5.8092337702E8</v>
      </c>
      <c r="F14" s="9">
        <v>3.34586950726E9</v>
      </c>
      <c r="G14" s="9">
        <f t="shared" si="1"/>
        <v>7746403055</v>
      </c>
      <c r="H14" s="9">
        <v>1.51392510089E9</v>
      </c>
      <c r="I14" s="9">
        <f t="shared" si="2"/>
        <v>9260328156</v>
      </c>
    </row>
    <row r="15" ht="22.5" customHeight="1">
      <c r="A15" s="7">
        <v>13.0</v>
      </c>
      <c r="B15" s="8" t="s">
        <v>22</v>
      </c>
      <c r="C15" s="9">
        <v>1.56235832283E9</v>
      </c>
      <c r="D15" s="9">
        <v>4.56480569E7</v>
      </c>
      <c r="E15" s="9">
        <v>2.6171775E7</v>
      </c>
      <c r="F15" s="9">
        <v>3.4993105103E8</v>
      </c>
      <c r="G15" s="9">
        <f t="shared" si="1"/>
        <v>1984109206</v>
      </c>
      <c r="H15" s="9">
        <v>2.2461275538E9</v>
      </c>
      <c r="I15" s="9">
        <f t="shared" si="2"/>
        <v>4230236760</v>
      </c>
    </row>
    <row r="16" ht="22.5" customHeight="1">
      <c r="A16" s="7">
        <v>14.0</v>
      </c>
      <c r="B16" s="8" t="s">
        <v>23</v>
      </c>
      <c r="C16" s="9">
        <v>2.519550409E9</v>
      </c>
      <c r="D16" s="9">
        <v>2.796932E7</v>
      </c>
      <c r="E16" s="9">
        <v>1.81708222E8</v>
      </c>
      <c r="F16" s="9">
        <v>4.66933431E8</v>
      </c>
      <c r="G16" s="9">
        <f t="shared" si="1"/>
        <v>3196161382</v>
      </c>
      <c r="H16" s="9">
        <v>3.832976423E9</v>
      </c>
      <c r="I16" s="9">
        <f t="shared" si="2"/>
        <v>7029137805</v>
      </c>
    </row>
    <row r="17" ht="22.5" customHeight="1">
      <c r="A17" s="7">
        <v>15.0</v>
      </c>
      <c r="B17" s="8" t="s">
        <v>24</v>
      </c>
      <c r="C17" s="9">
        <v>7.3289029622E8</v>
      </c>
      <c r="D17" s="9">
        <v>7741338.3</v>
      </c>
      <c r="E17" s="9">
        <v>3.754307E7</v>
      </c>
      <c r="F17" s="9">
        <v>1.72001923313E9</v>
      </c>
      <c r="G17" s="9">
        <f t="shared" si="1"/>
        <v>2498193938</v>
      </c>
      <c r="H17" s="9">
        <v>2.5596257442E8</v>
      </c>
      <c r="I17" s="9">
        <f t="shared" si="2"/>
        <v>2754156512</v>
      </c>
    </row>
    <row r="18" ht="22.5" customHeight="1">
      <c r="A18" s="7">
        <v>16.0</v>
      </c>
      <c r="B18" s="8" t="s">
        <v>25</v>
      </c>
      <c r="C18" s="9">
        <v>2.30639721785E9</v>
      </c>
      <c r="D18" s="9">
        <v>6.84606606E7</v>
      </c>
      <c r="E18" s="9">
        <v>1.1604342905E8</v>
      </c>
      <c r="F18" s="9">
        <v>4.0209072338E8</v>
      </c>
      <c r="G18" s="9">
        <f t="shared" si="1"/>
        <v>2892992031</v>
      </c>
      <c r="H18" s="9">
        <v>1.53495549247E9</v>
      </c>
      <c r="I18" s="9">
        <f t="shared" si="2"/>
        <v>4427947523</v>
      </c>
    </row>
    <row r="19" ht="22.5" customHeight="1">
      <c r="A19" s="7">
        <v>17.0</v>
      </c>
      <c r="B19" s="8" t="s">
        <v>26</v>
      </c>
      <c r="C19" s="9">
        <v>2.53941262461E9</v>
      </c>
      <c r="D19" s="9">
        <v>1.9549687142E8</v>
      </c>
      <c r="E19" s="9">
        <v>9.9019834E7</v>
      </c>
      <c r="F19" s="9">
        <v>1.78585167064E9</v>
      </c>
      <c r="G19" s="9">
        <f t="shared" si="1"/>
        <v>4619781001</v>
      </c>
      <c r="H19" s="9">
        <v>1.30214643977E9</v>
      </c>
      <c r="I19" s="9">
        <f t="shared" si="2"/>
        <v>5921927440</v>
      </c>
    </row>
    <row r="20" ht="22.5" customHeight="1">
      <c r="A20" s="7">
        <v>18.0</v>
      </c>
      <c r="B20" s="8" t="s">
        <v>27</v>
      </c>
      <c r="C20" s="9">
        <v>3.28159898512E9</v>
      </c>
      <c r="D20" s="9">
        <v>8.919624439E7</v>
      </c>
      <c r="E20" s="9">
        <v>1.6832264949E8</v>
      </c>
      <c r="F20" s="9">
        <v>6.48837314612E9</v>
      </c>
      <c r="G20" s="9">
        <f t="shared" si="1"/>
        <v>10027491025</v>
      </c>
      <c r="H20" s="9">
        <v>7.84849542203E9</v>
      </c>
      <c r="I20" s="9">
        <f t="shared" si="2"/>
        <v>17875986447</v>
      </c>
    </row>
    <row r="21" ht="22.5" customHeight="1">
      <c r="A21" s="7">
        <v>19.0</v>
      </c>
      <c r="B21" s="8" t="s">
        <v>28</v>
      </c>
      <c r="C21" s="9">
        <v>4.59551304784E9</v>
      </c>
      <c r="D21" s="9">
        <v>1.3965557884E8</v>
      </c>
      <c r="E21" s="9">
        <v>1.5121513599E8</v>
      </c>
      <c r="F21" s="9">
        <v>3.47980278599E9</v>
      </c>
      <c r="G21" s="9">
        <f t="shared" si="1"/>
        <v>8366186549</v>
      </c>
      <c r="H21" s="9">
        <v>4.6920315034E8</v>
      </c>
      <c r="I21" s="9">
        <f t="shared" si="2"/>
        <v>8835389699</v>
      </c>
    </row>
    <row r="22" ht="22.5" customHeight="1">
      <c r="A22" s="7">
        <v>20.0</v>
      </c>
      <c r="B22" s="8" t="s">
        <v>29</v>
      </c>
      <c r="C22" s="9">
        <v>4.967427694E9</v>
      </c>
      <c r="D22" s="9">
        <v>2.6742636E7</v>
      </c>
      <c r="E22" s="9">
        <v>3.5292539E7</v>
      </c>
      <c r="F22" s="9">
        <v>8.635175E7</v>
      </c>
      <c r="G22" s="9">
        <f t="shared" si="1"/>
        <v>5115814619</v>
      </c>
      <c r="H22" s="9">
        <v>5.9486151E7</v>
      </c>
      <c r="I22" s="9">
        <f t="shared" si="2"/>
        <v>5175300770</v>
      </c>
    </row>
    <row r="23" ht="22.5" customHeight="1">
      <c r="A23" s="7">
        <v>21.0</v>
      </c>
      <c r="B23" s="8" t="s">
        <v>30</v>
      </c>
      <c r="C23" s="9">
        <v>1.11858000252E9</v>
      </c>
      <c r="D23" s="9">
        <v>1.556468361E8</v>
      </c>
      <c r="E23" s="9">
        <v>1.8406462E7</v>
      </c>
      <c r="F23" s="9">
        <v>1.386095444E9</v>
      </c>
      <c r="G23" s="9">
        <f t="shared" si="1"/>
        <v>2678728745</v>
      </c>
      <c r="H23" s="9">
        <v>1.284012078E9</v>
      </c>
      <c r="I23" s="9">
        <f t="shared" si="2"/>
        <v>3962740823</v>
      </c>
    </row>
    <row r="24" ht="22.5" customHeight="1">
      <c r="A24" s="7">
        <v>22.0</v>
      </c>
      <c r="B24" s="8" t="s">
        <v>31</v>
      </c>
      <c r="C24" s="9">
        <v>1.9326355598600001E9</v>
      </c>
      <c r="D24" s="9">
        <v>2.2765349419999998E7</v>
      </c>
      <c r="E24" s="9">
        <v>1.6971396309E8</v>
      </c>
      <c r="F24" s="9">
        <v>1.99404883979E9</v>
      </c>
      <c r="G24" s="9">
        <f t="shared" si="1"/>
        <v>4119163712</v>
      </c>
      <c r="H24" s="9">
        <v>1.1638591622E9</v>
      </c>
      <c r="I24" s="9">
        <f t="shared" si="2"/>
        <v>5283022874</v>
      </c>
    </row>
    <row r="25" ht="22.5" customHeight="1">
      <c r="A25" s="7">
        <v>23.0</v>
      </c>
      <c r="B25" s="8" t="s">
        <v>32</v>
      </c>
      <c r="C25" s="9">
        <v>2.48838202562E9</v>
      </c>
      <c r="D25" s="9">
        <v>5.8142929517E8</v>
      </c>
      <c r="E25" s="9">
        <v>1.22068119E8</v>
      </c>
      <c r="F25" s="9">
        <v>1.1558677137E8</v>
      </c>
      <c r="G25" s="9">
        <f t="shared" si="1"/>
        <v>3307466211</v>
      </c>
      <c r="H25" s="9">
        <v>3.07304410496E9</v>
      </c>
      <c r="I25" s="9">
        <f t="shared" si="2"/>
        <v>6380510316</v>
      </c>
    </row>
    <row r="26" ht="22.5" customHeight="1">
      <c r="A26" s="7">
        <v>24.0</v>
      </c>
      <c r="B26" s="8" t="s">
        <v>33</v>
      </c>
      <c r="C26" s="9">
        <v>7.422206460433E10</v>
      </c>
      <c r="D26" s="9">
        <v>8.13776478426E9</v>
      </c>
      <c r="E26" s="9">
        <v>3.85829088541E9</v>
      </c>
      <c r="F26" s="9">
        <v>2.984818451939E10</v>
      </c>
      <c r="G26" s="9">
        <f t="shared" si="1"/>
        <v>116066304793</v>
      </c>
      <c r="H26" s="9">
        <v>2.320415449571E10</v>
      </c>
      <c r="I26" s="9">
        <f t="shared" si="2"/>
        <v>139270459289</v>
      </c>
    </row>
    <row r="27" ht="22.5" customHeight="1">
      <c r="A27" s="7">
        <v>25.0</v>
      </c>
      <c r="B27" s="8" t="s">
        <v>34</v>
      </c>
      <c r="C27" s="9">
        <v>1.93339216663E9</v>
      </c>
      <c r="D27" s="9">
        <v>1.036755E7</v>
      </c>
      <c r="E27" s="9">
        <v>4.6209948E7</v>
      </c>
      <c r="F27" s="9">
        <v>4.262706835E7</v>
      </c>
      <c r="G27" s="9">
        <f t="shared" si="1"/>
        <v>2032596733</v>
      </c>
      <c r="H27" s="9">
        <v>1.69057591599E9</v>
      </c>
      <c r="I27" s="9">
        <f t="shared" si="2"/>
        <v>3723172649</v>
      </c>
    </row>
    <row r="28" ht="22.5" customHeight="1">
      <c r="A28" s="7">
        <v>26.0</v>
      </c>
      <c r="B28" s="8" t="s">
        <v>35</v>
      </c>
      <c r="C28" s="9">
        <v>2.88495106051E9</v>
      </c>
      <c r="D28" s="9">
        <v>3.947338079E7</v>
      </c>
      <c r="E28" s="9">
        <v>5.8919987E7</v>
      </c>
      <c r="F28" s="9">
        <v>9.0406951786E8</v>
      </c>
      <c r="G28" s="9">
        <f t="shared" si="1"/>
        <v>3887413946</v>
      </c>
      <c r="H28" s="9">
        <v>1.88783513566E9</v>
      </c>
      <c r="I28" s="9">
        <f t="shared" si="2"/>
        <v>5775249082</v>
      </c>
    </row>
    <row r="29" ht="22.5" customHeight="1">
      <c r="A29" s="7">
        <v>27.0</v>
      </c>
      <c r="B29" s="8" t="s">
        <v>36</v>
      </c>
      <c r="C29" s="10">
        <v>6.988693871900001E9</v>
      </c>
      <c r="D29" s="10">
        <v>7.963944161E8</v>
      </c>
      <c r="E29" s="10">
        <v>2.8113666419E8</v>
      </c>
      <c r="F29" s="10">
        <v>7.261125623999996E8</v>
      </c>
      <c r="G29" s="9">
        <f t="shared" si="1"/>
        <v>8792337515</v>
      </c>
      <c r="H29" s="10">
        <v>2.7721804756679993E10</v>
      </c>
      <c r="I29" s="9">
        <f t="shared" si="2"/>
        <v>36514142271</v>
      </c>
    </row>
    <row r="30" ht="22.5" customHeight="1">
      <c r="A30" s="7">
        <v>28.0</v>
      </c>
      <c r="B30" s="8" t="s">
        <v>37</v>
      </c>
      <c r="C30" s="9">
        <v>8.50888227825E9</v>
      </c>
      <c r="D30" s="9">
        <v>1.6790640719E8</v>
      </c>
      <c r="E30" s="9">
        <v>3.6962323333E8</v>
      </c>
      <c r="F30" s="9">
        <v>2.1411696053400002E9</v>
      </c>
      <c r="G30" s="9">
        <f t="shared" si="1"/>
        <v>11187581524</v>
      </c>
      <c r="H30" s="9">
        <v>1.16308994123E9</v>
      </c>
      <c r="I30" s="9">
        <f t="shared" si="2"/>
        <v>12350671465</v>
      </c>
    </row>
    <row r="31" ht="22.5" customHeight="1">
      <c r="A31" s="7">
        <v>29.0</v>
      </c>
      <c r="B31" s="8" t="s">
        <v>38</v>
      </c>
      <c r="C31" s="11">
        <v>3.83212503651E9</v>
      </c>
      <c r="D31" s="11">
        <v>1.8736438332999998E8</v>
      </c>
      <c r="E31" s="11">
        <v>1.0614926319E8</v>
      </c>
      <c r="F31" s="11">
        <v>1.5575939492E8</v>
      </c>
      <c r="G31" s="9">
        <f t="shared" si="1"/>
        <v>4281398078</v>
      </c>
      <c r="H31" s="9">
        <v>2.9866493819900002E9</v>
      </c>
      <c r="I31" s="9">
        <f t="shared" si="2"/>
        <v>7268047460</v>
      </c>
    </row>
    <row r="32" ht="22.5" customHeight="1">
      <c r="A32" s="7">
        <v>30.0</v>
      </c>
      <c r="B32" s="8" t="s">
        <v>39</v>
      </c>
      <c r="C32" s="9">
        <v>9.45254390529E9</v>
      </c>
      <c r="D32" s="9">
        <v>2.6881727142E8</v>
      </c>
      <c r="E32" s="9">
        <v>2.7466773617E8</v>
      </c>
      <c r="F32" s="9">
        <v>8.6195402971E8</v>
      </c>
      <c r="G32" s="9">
        <f t="shared" si="1"/>
        <v>10857982943</v>
      </c>
      <c r="H32" s="9">
        <v>1.99790742872E9</v>
      </c>
      <c r="I32" s="9">
        <f t="shared" si="2"/>
        <v>12855890371</v>
      </c>
    </row>
    <row r="33" ht="22.5" customHeight="1">
      <c r="A33" s="7">
        <v>31.0</v>
      </c>
      <c r="B33" s="8" t="s">
        <v>40</v>
      </c>
      <c r="C33" s="9">
        <v>6.153500231620001E9</v>
      </c>
      <c r="D33" s="9">
        <v>4.756679117E7</v>
      </c>
      <c r="E33" s="9">
        <v>1.2025095E8</v>
      </c>
      <c r="F33" s="9">
        <v>2.7773560631E8</v>
      </c>
      <c r="G33" s="9">
        <f t="shared" si="1"/>
        <v>6599053579</v>
      </c>
      <c r="H33" s="9">
        <v>3.8176637642999995E8</v>
      </c>
      <c r="I33" s="9">
        <f t="shared" si="2"/>
        <v>6980819956</v>
      </c>
    </row>
    <row r="34" ht="22.5" customHeight="1">
      <c r="A34" s="7">
        <v>32.0</v>
      </c>
      <c r="B34" s="8" t="s">
        <v>41</v>
      </c>
      <c r="C34" s="9">
        <v>1.862383255257E10</v>
      </c>
      <c r="D34" s="9">
        <v>7.974477458000001E7</v>
      </c>
      <c r="E34" s="9">
        <v>2.174807E7</v>
      </c>
      <c r="F34" s="9">
        <v>2.6544464747700005E9</v>
      </c>
      <c r="G34" s="9">
        <f t="shared" si="1"/>
        <v>21379771872</v>
      </c>
      <c r="H34" s="9">
        <v>2.88042970721E9</v>
      </c>
      <c r="I34" s="9">
        <f t="shared" si="2"/>
        <v>24260201579</v>
      </c>
    </row>
    <row r="35" ht="22.5" customHeight="1">
      <c r="A35" s="7">
        <v>33.0</v>
      </c>
      <c r="B35" s="8" t="s">
        <v>42</v>
      </c>
      <c r="C35" s="9">
        <v>1.98639495287E9</v>
      </c>
      <c r="D35" s="9">
        <v>5.0E8</v>
      </c>
      <c r="E35" s="9">
        <v>1.105685E7</v>
      </c>
      <c r="F35" s="9">
        <v>1.52065819776E9</v>
      </c>
      <c r="G35" s="9">
        <f t="shared" si="1"/>
        <v>4018110001</v>
      </c>
      <c r="H35" s="9">
        <v>6.3222523263E8</v>
      </c>
      <c r="I35" s="9">
        <f t="shared" si="2"/>
        <v>4650335233</v>
      </c>
    </row>
    <row r="36" ht="22.5" customHeight="1">
      <c r="A36" s="7">
        <v>34.0</v>
      </c>
      <c r="B36" s="8" t="s">
        <v>43</v>
      </c>
      <c r="C36" s="9">
        <v>1.88502947095E9</v>
      </c>
      <c r="D36" s="9">
        <v>4.320393814E7</v>
      </c>
      <c r="E36" s="9">
        <v>1.80376E7</v>
      </c>
      <c r="F36" s="9">
        <v>5445661.69</v>
      </c>
      <c r="G36" s="9">
        <f t="shared" si="1"/>
        <v>1951716671</v>
      </c>
      <c r="H36" s="9">
        <v>9.001532984E8</v>
      </c>
      <c r="I36" s="9">
        <f t="shared" si="2"/>
        <v>2851869969</v>
      </c>
    </row>
    <row r="37" ht="22.5" customHeight="1">
      <c r="A37" s="7">
        <v>35.0</v>
      </c>
      <c r="B37" s="8" t="s">
        <v>44</v>
      </c>
      <c r="C37" s="9">
        <v>1.60068953448E9</v>
      </c>
      <c r="D37" s="9">
        <v>3569353.75</v>
      </c>
      <c r="E37" s="9">
        <v>1.4460825E7</v>
      </c>
      <c r="F37" s="9">
        <v>9.812863500000001E7</v>
      </c>
      <c r="G37" s="9">
        <f t="shared" si="1"/>
        <v>1716848348</v>
      </c>
      <c r="H37" s="9">
        <v>1.3644905021E8</v>
      </c>
      <c r="I37" s="9">
        <f t="shared" si="2"/>
        <v>1853297398</v>
      </c>
    </row>
    <row r="38" ht="22.5" customHeight="1">
      <c r="A38" s="7">
        <v>36.0</v>
      </c>
      <c r="B38" s="8" t="s">
        <v>45</v>
      </c>
      <c r="C38" s="9">
        <v>2.08481518174E9</v>
      </c>
      <c r="D38" s="9">
        <v>4.5622512119E8</v>
      </c>
      <c r="E38" s="9">
        <v>4.97913373E8</v>
      </c>
      <c r="F38" s="9">
        <v>8.5499977004E8</v>
      </c>
      <c r="G38" s="9">
        <f t="shared" si="1"/>
        <v>3893953446</v>
      </c>
      <c r="H38" s="9">
        <v>3.9336045036E8</v>
      </c>
      <c r="I38" s="9">
        <f t="shared" si="2"/>
        <v>4287313896</v>
      </c>
    </row>
    <row r="39" ht="22.5" customHeight="1">
      <c r="A39" s="7">
        <v>37.0</v>
      </c>
      <c r="B39" s="8" t="s">
        <v>46</v>
      </c>
      <c r="C39" s="9">
        <v>1.920302510378E10</v>
      </c>
      <c r="D39" s="9">
        <v>1.43502700124E9</v>
      </c>
      <c r="E39" s="9">
        <v>0.0</v>
      </c>
      <c r="F39" s="9">
        <v>1.602907244118E10</v>
      </c>
      <c r="G39" s="9">
        <f t="shared" si="1"/>
        <v>36667124546</v>
      </c>
      <c r="H39" s="9">
        <v>0.0</v>
      </c>
      <c r="I39" s="9">
        <f t="shared" si="2"/>
        <v>36667124546</v>
      </c>
    </row>
    <row r="40" ht="22.5" customHeight="1">
      <c r="A40" s="12"/>
      <c r="B40" s="13" t="s">
        <v>47</v>
      </c>
      <c r="C40" s="12">
        <f t="shared" ref="C40:H40" si="3">SUM(C3:C39)</f>
        <v>234309525883</v>
      </c>
      <c r="D40" s="12">
        <f t="shared" si="3"/>
        <v>15062361083</v>
      </c>
      <c r="E40" s="12">
        <f t="shared" si="3"/>
        <v>8635938780</v>
      </c>
      <c r="F40" s="12">
        <f t="shared" si="3"/>
        <v>88707356756</v>
      </c>
      <c r="G40" s="12">
        <f t="shared" si="3"/>
        <v>346715182502</v>
      </c>
      <c r="H40" s="12">
        <f t="shared" si="3"/>
        <v>104148858067</v>
      </c>
      <c r="I40" s="12">
        <f t="shared" si="2"/>
        <v>450864040569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2.5" customHeight="1"/>
    <row r="42" ht="22.5" customHeight="1"/>
    <row r="43" ht="22.5" customHeight="1">
      <c r="A43" s="4">
        <v>1.0</v>
      </c>
      <c r="B43" s="4" t="s">
        <v>48</v>
      </c>
      <c r="C43" s="15">
        <f t="shared" ref="C43:I43" si="4">SUM(C29:C32,C15,C26)</f>
        <v>104566668019</v>
      </c>
      <c r="D43" s="15">
        <f t="shared" si="4"/>
        <v>9603895319</v>
      </c>
      <c r="E43" s="15">
        <f t="shared" si="4"/>
        <v>4916039557</v>
      </c>
      <c r="F43" s="15">
        <f t="shared" si="4"/>
        <v>34083111163</v>
      </c>
      <c r="G43" s="15">
        <f t="shared" si="4"/>
        <v>153169714058</v>
      </c>
      <c r="H43" s="15">
        <f t="shared" si="4"/>
        <v>59319733558</v>
      </c>
      <c r="I43" s="15">
        <f t="shared" si="4"/>
        <v>212489447617</v>
      </c>
    </row>
    <row r="44" ht="22.5" customHeight="1">
      <c r="A44" s="4">
        <v>2.0</v>
      </c>
      <c r="B44" s="4" t="s">
        <v>49</v>
      </c>
      <c r="C44" s="16">
        <f t="shared" ref="C44:I44" si="5">SUM(C34,C14,C12,C11,C8,C5)</f>
        <v>46685028040</v>
      </c>
      <c r="D44" s="16">
        <f t="shared" si="5"/>
        <v>609308058.1</v>
      </c>
      <c r="E44" s="16">
        <f t="shared" si="5"/>
        <v>1400702543</v>
      </c>
      <c r="F44" s="16">
        <f t="shared" si="5"/>
        <v>14853549036</v>
      </c>
      <c r="G44" s="16">
        <f t="shared" si="5"/>
        <v>63548587678</v>
      </c>
      <c r="H44" s="16">
        <f t="shared" si="5"/>
        <v>11598250869</v>
      </c>
      <c r="I44" s="16">
        <f t="shared" si="5"/>
        <v>75146838547</v>
      </c>
    </row>
    <row r="45" ht="22.5" customHeight="1">
      <c r="A45" s="4">
        <v>3.0</v>
      </c>
      <c r="B45" s="4" t="s">
        <v>50</v>
      </c>
      <c r="C45" s="16">
        <f t="shared" ref="C45:I45" si="6">SUM(C18,C16,C13,C3,C6)</f>
        <v>12672480982</v>
      </c>
      <c r="D45" s="16">
        <f t="shared" si="6"/>
        <v>319706862.8</v>
      </c>
      <c r="E45" s="16">
        <f t="shared" si="6"/>
        <v>615045211.1</v>
      </c>
      <c r="F45" s="16">
        <f t="shared" si="6"/>
        <v>1869883218</v>
      </c>
      <c r="G45" s="16">
        <f t="shared" si="6"/>
        <v>15477116274</v>
      </c>
      <c r="H45" s="16">
        <f t="shared" si="6"/>
        <v>8363962583</v>
      </c>
      <c r="I45" s="16">
        <f t="shared" si="6"/>
        <v>23841078857</v>
      </c>
    </row>
    <row r="46" ht="22.5" customHeight="1">
      <c r="A46" s="4">
        <v>4.0</v>
      </c>
      <c r="B46" s="4" t="s">
        <v>51</v>
      </c>
      <c r="C46" s="16">
        <f t="shared" ref="C46:I46" si="7">SUM(C39,C33,C28,C27,C25,C24,C9)</f>
        <v>36158356529</v>
      </c>
      <c r="D46" s="16">
        <f t="shared" si="7"/>
        <v>2543557976</v>
      </c>
      <c r="E46" s="16">
        <f t="shared" si="7"/>
        <v>564666280.1</v>
      </c>
      <c r="F46" s="16">
        <f t="shared" si="7"/>
        <v>19374514820</v>
      </c>
      <c r="G46" s="16">
        <f t="shared" si="7"/>
        <v>58641095606</v>
      </c>
      <c r="H46" s="16">
        <f t="shared" si="7"/>
        <v>9795313468</v>
      </c>
      <c r="I46" s="16">
        <f t="shared" si="7"/>
        <v>68436409073</v>
      </c>
    </row>
    <row r="47" ht="22.5" customHeight="1">
      <c r="A47" s="4">
        <v>5.0</v>
      </c>
      <c r="B47" s="4" t="s">
        <v>52</v>
      </c>
      <c r="C47" s="16">
        <f t="shared" ref="C47:I47" si="8">SUM(C38,C37,C35,C19:C22)</f>
        <v>21055852021</v>
      </c>
      <c r="D47" s="16">
        <f t="shared" si="8"/>
        <v>1410885806</v>
      </c>
      <c r="E47" s="16">
        <f t="shared" si="8"/>
        <v>977281206.5</v>
      </c>
      <c r="F47" s="16">
        <f t="shared" si="8"/>
        <v>14314165956</v>
      </c>
      <c r="G47" s="16">
        <f t="shared" si="8"/>
        <v>37758184988</v>
      </c>
      <c r="H47" s="16">
        <f t="shared" si="8"/>
        <v>10841365896</v>
      </c>
      <c r="I47" s="16">
        <f t="shared" si="8"/>
        <v>48599550885</v>
      </c>
    </row>
    <row r="48" ht="22.5" customHeight="1">
      <c r="A48" s="4">
        <v>6.0</v>
      </c>
      <c r="B48" s="4" t="s">
        <v>53</v>
      </c>
      <c r="C48" s="16">
        <f t="shared" ref="C48:I48" si="9">SUM(C36,C23,C17,C10,C7,C4)</f>
        <v>13171140292</v>
      </c>
      <c r="D48" s="16">
        <f t="shared" si="9"/>
        <v>575007060.6</v>
      </c>
      <c r="E48" s="16">
        <f t="shared" si="9"/>
        <v>162203982</v>
      </c>
      <c r="F48" s="16">
        <f t="shared" si="9"/>
        <v>4212132563</v>
      </c>
      <c r="G48" s="16">
        <f t="shared" si="9"/>
        <v>18120483898</v>
      </c>
      <c r="H48" s="16">
        <f t="shared" si="9"/>
        <v>4230231693</v>
      </c>
      <c r="I48" s="16">
        <f t="shared" si="9"/>
        <v>22350715590</v>
      </c>
    </row>
    <row r="49" ht="22.5" customHeight="1">
      <c r="A49" s="4"/>
      <c r="B49" s="17" t="s">
        <v>54</v>
      </c>
      <c r="C49" s="18">
        <f t="shared" ref="C49:I49" si="10">SUM(C43:C48)</f>
        <v>234309525883</v>
      </c>
      <c r="D49" s="18">
        <f t="shared" si="10"/>
        <v>15062361083</v>
      </c>
      <c r="E49" s="18">
        <f t="shared" si="10"/>
        <v>8635938780</v>
      </c>
      <c r="F49" s="18">
        <f t="shared" si="10"/>
        <v>88707356756</v>
      </c>
      <c r="G49" s="18">
        <f t="shared" si="10"/>
        <v>346715182502</v>
      </c>
      <c r="H49" s="18">
        <f t="shared" si="10"/>
        <v>104148858067</v>
      </c>
      <c r="I49" s="18">
        <f t="shared" si="10"/>
        <v>450864040569</v>
      </c>
    </row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mergeCells count="1">
    <mergeCell ref="A1:I1"/>
  </mergeCells>
  <printOptions horizontalCentered="1"/>
  <pageMargins bottom="0.15748031496062992" footer="0.0" header="0.0" left="0.11811023622047245" right="0.11811023622047245" top="0.15748031496062992"/>
  <pageSetup paperSize="9" scale="5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29"/>
    <col customWidth="1" min="3" max="3" width="35.71"/>
    <col customWidth="1" min="4" max="4" width="35.0"/>
    <col customWidth="1" min="5" max="5" width="33.43"/>
    <col customWidth="1" min="6" max="6" width="35.29"/>
    <col customWidth="1" min="7" max="7" width="36.0"/>
    <col customWidth="1" min="8" max="9" width="35.71"/>
    <col customWidth="1" min="10" max="26" width="8.86"/>
  </cols>
  <sheetData>
    <row r="1" ht="30.0" customHeight="1">
      <c r="A1" s="1" t="s">
        <v>56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1.75" customHeight="1">
      <c r="A3" s="7">
        <v>1.0</v>
      </c>
      <c r="B3" s="8" t="s">
        <v>10</v>
      </c>
      <c r="C3" s="9">
        <f>'Q1 2021'!C3+'Q2 2021'!C3</f>
        <v>5659383517</v>
      </c>
      <c r="D3" s="9">
        <f>'Q1 2021'!D3+'Q2 2021'!D3</f>
        <v>140577914.6</v>
      </c>
      <c r="E3" s="9">
        <f>'Q1 2021'!E3+'Q2 2021'!E3</f>
        <v>233227350.8</v>
      </c>
      <c r="F3" s="9">
        <f>'Q1 2021'!F3+'Q2 2021'!F3</f>
        <v>581454427.4</v>
      </c>
      <c r="G3" s="9">
        <f t="shared" ref="G3:G39" si="1">SUM(C3:F3)</f>
        <v>6614643209</v>
      </c>
      <c r="H3" s="9">
        <f>'Q1 2021'!H3+'Q2 2021'!H3</f>
        <v>935468595.2</v>
      </c>
      <c r="I3" s="9">
        <f t="shared" ref="I3:I39" si="2">SUM(G3:H3)</f>
        <v>7550111805</v>
      </c>
    </row>
    <row r="4" ht="21.75" customHeight="1">
      <c r="A4" s="7">
        <v>2.0</v>
      </c>
      <c r="B4" s="8" t="s">
        <v>11</v>
      </c>
      <c r="C4" s="9">
        <f>'Q1 2021'!C4+'Q2 2021'!C4</f>
        <v>3275181266</v>
      </c>
      <c r="D4" s="9">
        <f>'Q1 2021'!D4+'Q2 2021'!D4</f>
        <v>50939115.52</v>
      </c>
      <c r="E4" s="9">
        <f>'Q1 2021'!E4+'Q2 2021'!E4</f>
        <v>56250402</v>
      </c>
      <c r="F4" s="9">
        <f>'Q1 2021'!F4+'Q2 2021'!F4</f>
        <v>805488545.9</v>
      </c>
      <c r="G4" s="9">
        <f t="shared" si="1"/>
        <v>4187859330</v>
      </c>
      <c r="H4" s="9">
        <f>'Q1 2021'!H4+'Q2 2021'!H4</f>
        <v>1898716679</v>
      </c>
      <c r="I4" s="9">
        <f t="shared" si="2"/>
        <v>6086576009</v>
      </c>
    </row>
    <row r="5" ht="21.75" customHeight="1">
      <c r="A5" s="7">
        <v>3.0</v>
      </c>
      <c r="B5" s="8" t="s">
        <v>12</v>
      </c>
      <c r="C5" s="9">
        <f>'Q1 2021'!C5+'Q2 2021'!C5</f>
        <v>13378611805</v>
      </c>
      <c r="D5" s="9">
        <f>'Q1 2021'!D5+'Q2 2021'!D5</f>
        <v>66709227.77</v>
      </c>
      <c r="E5" s="9">
        <f>'Q1 2021'!E5+'Q2 2021'!E5</f>
        <v>483170775</v>
      </c>
      <c r="F5" s="9">
        <f>'Q1 2021'!F5+'Q2 2021'!F5</f>
        <v>1606698410</v>
      </c>
      <c r="G5" s="9">
        <f t="shared" si="1"/>
        <v>15535190218</v>
      </c>
      <c r="H5" s="9">
        <f>'Q1 2021'!H5+'Q2 2021'!H5</f>
        <v>2559360184</v>
      </c>
      <c r="I5" s="9">
        <f t="shared" si="2"/>
        <v>18094550402</v>
      </c>
    </row>
    <row r="6" ht="21.75" customHeight="1">
      <c r="A6" s="7">
        <v>4.0</v>
      </c>
      <c r="B6" s="8" t="s">
        <v>13</v>
      </c>
      <c r="C6" s="9">
        <f>'Q1 2021'!C6+'Q2 2021'!C6</f>
        <v>7580359002</v>
      </c>
      <c r="D6" s="9">
        <f>'Q1 2021'!D6+'Q2 2021'!D6</f>
        <v>359368419.9</v>
      </c>
      <c r="E6" s="9">
        <f>'Q1 2021'!E6+'Q2 2021'!E6</f>
        <v>432676875</v>
      </c>
      <c r="F6" s="9">
        <f>'Q1 2021'!F6+'Q2 2021'!F6</f>
        <v>1240086390</v>
      </c>
      <c r="G6" s="9">
        <f t="shared" si="1"/>
        <v>9612490687</v>
      </c>
      <c r="H6" s="9">
        <f>'Q1 2021'!H6+'Q2 2021'!H6</f>
        <v>3160664671</v>
      </c>
      <c r="I6" s="9">
        <f t="shared" si="2"/>
        <v>12773155358</v>
      </c>
    </row>
    <row r="7" ht="21.75" customHeight="1">
      <c r="A7" s="7">
        <v>5.0</v>
      </c>
      <c r="B7" s="8" t="s">
        <v>14</v>
      </c>
      <c r="C7" s="9">
        <f>'Q1 2021'!C7+'Q2 2021'!C7</f>
        <v>8754635147</v>
      </c>
      <c r="D7" s="9">
        <f>'Q1 2021'!D7+'Q2 2021'!D7</f>
        <v>33079738.41</v>
      </c>
      <c r="E7" s="9">
        <f>'Q1 2021'!E7+'Q2 2021'!E7</f>
        <v>47490575</v>
      </c>
      <c r="F7" s="9">
        <f>'Q1 2021'!F7+'Q2 2021'!F7</f>
        <v>400036135.8</v>
      </c>
      <c r="G7" s="9">
        <f t="shared" si="1"/>
        <v>9235241596</v>
      </c>
      <c r="H7" s="9">
        <f>'Q1 2021'!H7+'Q2 2021'!H7</f>
        <v>232047424.2</v>
      </c>
      <c r="I7" s="9">
        <f t="shared" si="2"/>
        <v>9467289020</v>
      </c>
    </row>
    <row r="8" ht="21.75" customHeight="1">
      <c r="A8" s="7">
        <v>6.0</v>
      </c>
      <c r="B8" s="8" t="s">
        <v>15</v>
      </c>
      <c r="C8" s="9">
        <f>'Q1 2021'!C8+'Q2 2021'!C8</f>
        <v>5270447991</v>
      </c>
      <c r="D8" s="9">
        <f>'Q1 2021'!D8+'Q2 2021'!D8</f>
        <v>18754752.11</v>
      </c>
      <c r="E8" s="9">
        <f>'Q1 2021'!E8+'Q2 2021'!E8</f>
        <v>22952565.65</v>
      </c>
      <c r="F8" s="9">
        <f>'Q1 2021'!F8+'Q2 2021'!F8</f>
        <v>1026915733</v>
      </c>
      <c r="G8" s="9">
        <f t="shared" si="1"/>
        <v>6339071041</v>
      </c>
      <c r="H8" s="9">
        <f>'Q1 2021'!H8+'Q2 2021'!H8</f>
        <v>76221788.93</v>
      </c>
      <c r="I8" s="9">
        <f t="shared" si="2"/>
        <v>6415292830</v>
      </c>
    </row>
    <row r="9" ht="21.75" customHeight="1">
      <c r="A9" s="7">
        <v>7.0</v>
      </c>
      <c r="B9" s="8" t="s">
        <v>16</v>
      </c>
      <c r="C9" s="9">
        <f>'Q1 2021'!C9+'Q2 2021'!C9</f>
        <v>3748906424</v>
      </c>
      <c r="D9" s="9">
        <f>'Q1 2021'!D9+'Q2 2021'!D9</f>
        <v>764879496</v>
      </c>
      <c r="E9" s="9">
        <f>'Q1 2021'!E9+'Q2 2021'!E9</f>
        <v>102679122.9</v>
      </c>
      <c r="F9" s="9">
        <f>'Q1 2021'!F9+'Q2 2021'!F9</f>
        <v>21818469.55</v>
      </c>
      <c r="G9" s="9">
        <f t="shared" si="1"/>
        <v>4638283513</v>
      </c>
      <c r="H9" s="9">
        <f>'Q1 2021'!H9+'Q2 2021'!H9</f>
        <v>2069294236</v>
      </c>
      <c r="I9" s="9">
        <f t="shared" si="2"/>
        <v>6707577749</v>
      </c>
    </row>
    <row r="10" ht="21.75" customHeight="1">
      <c r="A10" s="7">
        <v>8.0</v>
      </c>
      <c r="B10" s="8" t="s">
        <v>17</v>
      </c>
      <c r="C10" s="9">
        <f>'Q1 2021'!C10+'Q2 2021'!C10</f>
        <v>6952280510</v>
      </c>
      <c r="D10" s="9">
        <f>'Q1 2021'!D10+'Q2 2021'!D10</f>
        <v>877281203.2</v>
      </c>
      <c r="E10" s="9">
        <f>'Q1 2021'!E10+'Q2 2021'!E10</f>
        <v>110289950</v>
      </c>
      <c r="F10" s="9">
        <f>'Q1 2021'!F10+'Q2 2021'!F10</f>
        <v>639157244</v>
      </c>
      <c r="G10" s="9">
        <f t="shared" si="1"/>
        <v>8579008907</v>
      </c>
      <c r="H10" s="9">
        <f>'Q1 2021'!H10+'Q2 2021'!H10</f>
        <v>1231941466</v>
      </c>
      <c r="I10" s="9">
        <f t="shared" si="2"/>
        <v>9810950374</v>
      </c>
    </row>
    <row r="11" ht="21.75" customHeight="1">
      <c r="A11" s="7">
        <v>9.0</v>
      </c>
      <c r="B11" s="8" t="s">
        <v>18</v>
      </c>
      <c r="C11" s="9">
        <f>'Q1 2021'!C11+'Q2 2021'!C11</f>
        <v>4180588236</v>
      </c>
      <c r="D11" s="9">
        <f>'Q1 2021'!D11+'Q2 2021'!D11</f>
        <v>62539413.01</v>
      </c>
      <c r="E11" s="9">
        <f>'Q1 2021'!E11+'Q2 2021'!E11</f>
        <v>462199113.3</v>
      </c>
      <c r="F11" s="9">
        <f>'Q1 2021'!F11+'Q2 2021'!F11</f>
        <v>8113295306</v>
      </c>
      <c r="G11" s="9">
        <f t="shared" si="1"/>
        <v>12818622068</v>
      </c>
      <c r="H11" s="9">
        <f>'Q1 2021'!H11+'Q2 2021'!H11</f>
        <v>1939563423</v>
      </c>
      <c r="I11" s="9">
        <f t="shared" si="2"/>
        <v>14758185491</v>
      </c>
    </row>
    <row r="12" ht="21.75" customHeight="1">
      <c r="A12" s="7">
        <v>10.0</v>
      </c>
      <c r="B12" s="8" t="s">
        <v>19</v>
      </c>
      <c r="C12" s="9">
        <f>'Q1 2021'!C12+'Q2 2021'!C12</f>
        <v>27312950015</v>
      </c>
      <c r="D12" s="9">
        <f>'Q1 2021'!D12+'Q2 2021'!D12</f>
        <v>319385852.7</v>
      </c>
      <c r="E12" s="9">
        <f>'Q1 2021'!E12+'Q2 2021'!E12</f>
        <v>947474279.2</v>
      </c>
      <c r="F12" s="9">
        <f>'Q1 2021'!F12+'Q2 2021'!F12</f>
        <v>6179389547</v>
      </c>
      <c r="G12" s="9">
        <f t="shared" si="1"/>
        <v>34759199693</v>
      </c>
      <c r="H12" s="9">
        <f>'Q1 2021'!H12+'Q2 2021'!H12</f>
        <v>7174983057</v>
      </c>
      <c r="I12" s="9">
        <f t="shared" si="2"/>
        <v>41934182751</v>
      </c>
    </row>
    <row r="13" ht="21.75" customHeight="1">
      <c r="A13" s="7">
        <v>11.0</v>
      </c>
      <c r="B13" s="8" t="s">
        <v>20</v>
      </c>
      <c r="C13" s="9">
        <f>'Q1 2021'!C13+'Q2 2021'!C13</f>
        <v>4326705917</v>
      </c>
      <c r="D13" s="9">
        <f>'Q1 2021'!D13+'Q2 2021'!D13</f>
        <v>123318921</v>
      </c>
      <c r="E13" s="9">
        <f>'Q1 2021'!E13+'Q2 2021'!E13</f>
        <v>46147737.1</v>
      </c>
      <c r="F13" s="9">
        <f>'Q1 2021'!F13+'Q2 2021'!F13</f>
        <v>283577771.8</v>
      </c>
      <c r="G13" s="9">
        <f t="shared" si="1"/>
        <v>4779750347</v>
      </c>
      <c r="H13" s="9">
        <f>'Q1 2021'!H13+'Q2 2021'!H13</f>
        <v>2973581899</v>
      </c>
      <c r="I13" s="9">
        <f t="shared" si="2"/>
        <v>7753332246</v>
      </c>
    </row>
    <row r="14" ht="21.75" customHeight="1">
      <c r="A14" s="7">
        <v>12.0</v>
      </c>
      <c r="B14" s="8" t="s">
        <v>21</v>
      </c>
      <c r="C14" s="9">
        <f>'Q1 2021'!C14+'Q2 2021'!C14</f>
        <v>7130245554</v>
      </c>
      <c r="D14" s="9">
        <f>'Q1 2021'!D14+'Q2 2021'!D14</f>
        <v>595386775</v>
      </c>
      <c r="E14" s="9">
        <f>'Q1 2021'!E14+'Q2 2021'!E14</f>
        <v>864031070.3</v>
      </c>
      <c r="F14" s="9">
        <f>'Q1 2021'!F14+'Q2 2021'!F14</f>
        <v>6284447992</v>
      </c>
      <c r="G14" s="9">
        <f t="shared" si="1"/>
        <v>14874111391</v>
      </c>
      <c r="H14" s="9">
        <f>'Q1 2021'!H14+'Q2 2021'!H14</f>
        <v>2770331264</v>
      </c>
      <c r="I14" s="9">
        <f t="shared" si="2"/>
        <v>17644442655</v>
      </c>
    </row>
    <row r="15" ht="21.75" customHeight="1">
      <c r="A15" s="7">
        <v>13.0</v>
      </c>
      <c r="B15" s="8" t="s">
        <v>22</v>
      </c>
      <c r="C15" s="9">
        <f>'Q1 2021'!C15+'Q2 2021'!C15</f>
        <v>3291104305</v>
      </c>
      <c r="D15" s="9">
        <f>'Q1 2021'!D15+'Q2 2021'!D15</f>
        <v>142335465.1</v>
      </c>
      <c r="E15" s="9">
        <f>'Q1 2021'!E15+'Q2 2021'!E15</f>
        <v>67655750</v>
      </c>
      <c r="F15" s="9">
        <f>'Q1 2021'!F15+'Q2 2021'!F15</f>
        <v>545217021.7</v>
      </c>
      <c r="G15" s="9">
        <f t="shared" si="1"/>
        <v>4046312542</v>
      </c>
      <c r="H15" s="9">
        <f>'Q1 2021'!H15+'Q2 2021'!H15</f>
        <v>2542078523</v>
      </c>
      <c r="I15" s="9">
        <f t="shared" si="2"/>
        <v>6588391066</v>
      </c>
    </row>
    <row r="16" ht="21.75" customHeight="1">
      <c r="A16" s="7">
        <v>14.0</v>
      </c>
      <c r="B16" s="8" t="s">
        <v>23</v>
      </c>
      <c r="C16" s="9">
        <f>'Q1 2021'!C16+'Q2 2021'!C16</f>
        <v>6803939540</v>
      </c>
      <c r="D16" s="9">
        <f>'Q1 2021'!D16+'Q2 2021'!D16</f>
        <v>73252195</v>
      </c>
      <c r="E16" s="9">
        <f>'Q1 2021'!E16+'Q2 2021'!E16</f>
        <v>354398169</v>
      </c>
      <c r="F16" s="9">
        <f>'Q1 2021'!F16+'Q2 2021'!F16</f>
        <v>825446584</v>
      </c>
      <c r="G16" s="9">
        <f t="shared" si="1"/>
        <v>8057036488</v>
      </c>
      <c r="H16" s="9">
        <f>'Q1 2021'!H16+'Q2 2021'!H16</f>
        <v>6083518188</v>
      </c>
      <c r="I16" s="9">
        <f t="shared" si="2"/>
        <v>14140554676</v>
      </c>
    </row>
    <row r="17" ht="21.75" customHeight="1">
      <c r="A17" s="7">
        <v>15.0</v>
      </c>
      <c r="B17" s="8" t="s">
        <v>24</v>
      </c>
      <c r="C17" s="9">
        <f>'Q1 2021'!C17+'Q2 2021'!C17</f>
        <v>1640718756</v>
      </c>
      <c r="D17" s="9">
        <f>'Q1 2021'!D17+'Q2 2021'!D17</f>
        <v>17761747.78</v>
      </c>
      <c r="E17" s="9">
        <f>'Q1 2021'!E17+'Q2 2021'!E17</f>
        <v>145609244.8</v>
      </c>
      <c r="F17" s="9">
        <f>'Q1 2021'!F17+'Q2 2021'!F17</f>
        <v>3120383691</v>
      </c>
      <c r="G17" s="9">
        <f t="shared" si="1"/>
        <v>4924473439</v>
      </c>
      <c r="H17" s="9">
        <f>'Q1 2021'!H17+'Q2 2021'!H17</f>
        <v>516562697.6</v>
      </c>
      <c r="I17" s="9">
        <f t="shared" si="2"/>
        <v>5441036137</v>
      </c>
    </row>
    <row r="18" ht="21.75" customHeight="1">
      <c r="A18" s="7">
        <v>16.0</v>
      </c>
      <c r="B18" s="8" t="s">
        <v>25</v>
      </c>
      <c r="C18" s="9">
        <f>'Q1 2021'!C18+'Q2 2021'!C18</f>
        <v>6623810006</v>
      </c>
      <c r="D18" s="9">
        <f>'Q1 2021'!D18+'Q2 2021'!D18</f>
        <v>149944890.5</v>
      </c>
      <c r="E18" s="9">
        <f>'Q1 2021'!E18+'Q2 2021'!E18</f>
        <v>205399968.2</v>
      </c>
      <c r="F18" s="9">
        <f>'Q1 2021'!F18+'Q2 2021'!F18</f>
        <v>559201913.1</v>
      </c>
      <c r="G18" s="9">
        <f t="shared" si="1"/>
        <v>7538356778</v>
      </c>
      <c r="H18" s="9">
        <f>'Q1 2021'!H18+'Q2 2021'!H18</f>
        <v>2452922915</v>
      </c>
      <c r="I18" s="9">
        <f t="shared" si="2"/>
        <v>9991279692</v>
      </c>
    </row>
    <row r="19" ht="21.75" customHeight="1">
      <c r="A19" s="7">
        <v>17.0</v>
      </c>
      <c r="B19" s="8" t="s">
        <v>26</v>
      </c>
      <c r="C19" s="9">
        <f>'Q1 2021'!C19+'Q2 2021'!C19</f>
        <v>3802875443</v>
      </c>
      <c r="D19" s="9">
        <f>'Q1 2021'!D19+'Q2 2021'!D19</f>
        <v>301859764.8</v>
      </c>
      <c r="E19" s="9">
        <f>'Q1 2021'!E19+'Q2 2021'!E19</f>
        <v>143830291.1</v>
      </c>
      <c r="F19" s="9">
        <f>'Q1 2021'!F19+'Q2 2021'!F19</f>
        <v>2320286070</v>
      </c>
      <c r="G19" s="9">
        <f t="shared" si="1"/>
        <v>6568851569</v>
      </c>
      <c r="H19" s="9">
        <f>'Q1 2021'!H19+'Q2 2021'!H19</f>
        <v>2758879194</v>
      </c>
      <c r="I19" s="9">
        <f t="shared" si="2"/>
        <v>9327730762</v>
      </c>
    </row>
    <row r="20" ht="21.75" customHeight="1">
      <c r="A20" s="7">
        <v>18.0</v>
      </c>
      <c r="B20" s="8" t="s">
        <v>27</v>
      </c>
      <c r="C20" s="9">
        <f>'Q1 2021'!C20+'Q2 2021'!C20</f>
        <v>6648718161</v>
      </c>
      <c r="D20" s="9">
        <f>'Q1 2021'!D20+'Q2 2021'!D20</f>
        <v>208050915.6</v>
      </c>
      <c r="E20" s="9">
        <f>'Q1 2021'!E20+'Q2 2021'!E20</f>
        <v>332163884.1</v>
      </c>
      <c r="F20" s="9">
        <f>'Q1 2021'!F20+'Q2 2021'!F20</f>
        <v>8619133694</v>
      </c>
      <c r="G20" s="9">
        <f t="shared" si="1"/>
        <v>15808066654</v>
      </c>
      <c r="H20" s="9">
        <f>'Q1 2021'!H20+'Q2 2021'!H20</f>
        <v>10621357565</v>
      </c>
      <c r="I20" s="9">
        <f t="shared" si="2"/>
        <v>26429424219</v>
      </c>
    </row>
    <row r="21" ht="21.75" customHeight="1">
      <c r="A21" s="7">
        <v>19.0</v>
      </c>
      <c r="B21" s="8" t="s">
        <v>28</v>
      </c>
      <c r="C21" s="9">
        <f>'Q1 2021'!C21+'Q2 2021'!C21</f>
        <v>8205247643</v>
      </c>
      <c r="D21" s="9">
        <f>'Q1 2021'!D21+'Q2 2021'!D21</f>
        <v>343735802.9</v>
      </c>
      <c r="E21" s="9">
        <f>'Q1 2021'!E21+'Q2 2021'!E21</f>
        <v>335721456.9</v>
      </c>
      <c r="F21" s="9">
        <f>'Q1 2021'!F21+'Q2 2021'!F21</f>
        <v>4159201275</v>
      </c>
      <c r="G21" s="9">
        <f t="shared" si="1"/>
        <v>13043906178</v>
      </c>
      <c r="H21" s="9">
        <f>'Q1 2021'!H21+'Q2 2021'!H21</f>
        <v>2010342395</v>
      </c>
      <c r="I21" s="9">
        <f t="shared" si="2"/>
        <v>15054248573</v>
      </c>
    </row>
    <row r="22" ht="21.75" customHeight="1">
      <c r="A22" s="7">
        <v>20.0</v>
      </c>
      <c r="B22" s="8" t="s">
        <v>29</v>
      </c>
      <c r="C22" s="9">
        <f>'Q1 2021'!C22+'Q2 2021'!C22</f>
        <v>6670625539</v>
      </c>
      <c r="D22" s="9">
        <f>'Q1 2021'!D22+'Q2 2021'!D22</f>
        <v>38954589</v>
      </c>
      <c r="E22" s="9">
        <f>'Q1 2021'!E22+'Q2 2021'!E22</f>
        <v>81968999</v>
      </c>
      <c r="F22" s="9">
        <f>'Q1 2021'!F22+'Q2 2021'!F22</f>
        <v>168240941</v>
      </c>
      <c r="G22" s="9">
        <f t="shared" si="1"/>
        <v>6959790068</v>
      </c>
      <c r="H22" s="9">
        <f>'Q1 2021'!H22+'Q2 2021'!H22</f>
        <v>528973684</v>
      </c>
      <c r="I22" s="9">
        <f t="shared" si="2"/>
        <v>7488763752</v>
      </c>
    </row>
    <row r="23" ht="21.75" customHeight="1">
      <c r="A23" s="7">
        <v>21.0</v>
      </c>
      <c r="B23" s="8" t="s">
        <v>30</v>
      </c>
      <c r="C23" s="9">
        <f>'Q1 2021'!C23+'Q2 2021'!C23</f>
        <v>2207730270</v>
      </c>
      <c r="D23" s="9">
        <f>'Q1 2021'!D23+'Q2 2021'!D23</f>
        <v>360854070.8</v>
      </c>
      <c r="E23" s="9">
        <f>'Q1 2021'!E23+'Q2 2021'!E23</f>
        <v>33087734.5</v>
      </c>
      <c r="F23" s="9">
        <f>'Q1 2021'!F23+'Q2 2021'!F23</f>
        <v>2347648335</v>
      </c>
      <c r="G23" s="9">
        <f t="shared" si="1"/>
        <v>4949320410</v>
      </c>
      <c r="H23" s="9">
        <f>'Q1 2021'!H23+'Q2 2021'!H23</f>
        <v>2385633319</v>
      </c>
      <c r="I23" s="9">
        <f t="shared" si="2"/>
        <v>7334953729</v>
      </c>
    </row>
    <row r="24" ht="21.75" customHeight="1">
      <c r="A24" s="7">
        <v>22.0</v>
      </c>
      <c r="B24" s="8" t="s">
        <v>31</v>
      </c>
      <c r="C24" s="9">
        <f>'Q1 2021'!C24+'Q2 2021'!C24</f>
        <v>3955615353</v>
      </c>
      <c r="D24" s="9">
        <f>'Q1 2021'!D24+'Q2 2021'!D24</f>
        <v>34515341.41</v>
      </c>
      <c r="E24" s="9">
        <f>'Q1 2021'!E24+'Q2 2021'!E24</f>
        <v>285986946.8</v>
      </c>
      <c r="F24" s="9">
        <f>'Q1 2021'!F24+'Q2 2021'!F24</f>
        <v>3681590923</v>
      </c>
      <c r="G24" s="9">
        <f t="shared" si="1"/>
        <v>7957708564</v>
      </c>
      <c r="H24" s="9">
        <f>'Q1 2021'!H24+'Q2 2021'!H24</f>
        <v>1655958815</v>
      </c>
      <c r="I24" s="9">
        <f t="shared" si="2"/>
        <v>9613667379</v>
      </c>
    </row>
    <row r="25" ht="21.75" customHeight="1">
      <c r="A25" s="7">
        <v>23.0</v>
      </c>
      <c r="B25" s="8" t="s">
        <v>32</v>
      </c>
      <c r="C25" s="9">
        <f>'Q1 2021'!C25+'Q2 2021'!C25</f>
        <v>5020686286</v>
      </c>
      <c r="D25" s="9">
        <f>'Q1 2021'!D25+'Q2 2021'!D25</f>
        <v>896628043.2</v>
      </c>
      <c r="E25" s="9">
        <f>'Q1 2021'!E25+'Q2 2021'!E25</f>
        <v>264543587</v>
      </c>
      <c r="F25" s="9">
        <f>'Q1 2021'!F25+'Q2 2021'!F25</f>
        <v>195095785.4</v>
      </c>
      <c r="G25" s="9">
        <f t="shared" si="1"/>
        <v>6376953701</v>
      </c>
      <c r="H25" s="9">
        <f>'Q1 2021'!H25+'Q2 2021'!H25</f>
        <v>9601659185</v>
      </c>
      <c r="I25" s="9">
        <f t="shared" si="2"/>
        <v>15978612886</v>
      </c>
    </row>
    <row r="26" ht="21.75" customHeight="1">
      <c r="A26" s="7">
        <v>24.0</v>
      </c>
      <c r="B26" s="8" t="s">
        <v>33</v>
      </c>
      <c r="C26" s="9">
        <f>'Q1 2021'!C26+'Q2 2021'!C26</f>
        <v>152665064980</v>
      </c>
      <c r="D26" s="9">
        <f>'Q1 2021'!D26+'Q2 2021'!D26</f>
        <v>14308897068</v>
      </c>
      <c r="E26" s="9">
        <f>'Q1 2021'!E26+'Q2 2021'!E26</f>
        <v>6988579342</v>
      </c>
      <c r="F26" s="9">
        <f>'Q1 2021'!F26+'Q2 2021'!F26</f>
        <v>52002196094</v>
      </c>
      <c r="G26" s="9">
        <f t="shared" si="1"/>
        <v>225964737484</v>
      </c>
      <c r="H26" s="9">
        <f>'Q1 2021'!H26+'Q2 2021'!H26</f>
        <v>41268036950</v>
      </c>
      <c r="I26" s="9">
        <f t="shared" si="2"/>
        <v>267232774434</v>
      </c>
    </row>
    <row r="27" ht="21.75" customHeight="1">
      <c r="A27" s="7">
        <v>25.0</v>
      </c>
      <c r="B27" s="8" t="s">
        <v>34</v>
      </c>
      <c r="C27" s="9">
        <f>'Q1 2021'!C27+'Q2 2021'!C27</f>
        <v>5413396040</v>
      </c>
      <c r="D27" s="9">
        <f>'Q1 2021'!D27+'Q2 2021'!D27</f>
        <v>24452140.78</v>
      </c>
      <c r="E27" s="9">
        <f>'Q1 2021'!E27+'Q2 2021'!E27</f>
        <v>175590350</v>
      </c>
      <c r="F27" s="9">
        <f>'Q1 2021'!F27+'Q2 2021'!F27</f>
        <v>67496038.59</v>
      </c>
      <c r="G27" s="9">
        <f t="shared" si="1"/>
        <v>5680934569</v>
      </c>
      <c r="H27" s="9">
        <f>'Q1 2021'!H27+'Q2 2021'!H27</f>
        <v>3822576603</v>
      </c>
      <c r="I27" s="9">
        <f t="shared" si="2"/>
        <v>9503511172</v>
      </c>
    </row>
    <row r="28" ht="21.75" customHeight="1">
      <c r="A28" s="7">
        <v>26.0</v>
      </c>
      <c r="B28" s="8" t="s">
        <v>35</v>
      </c>
      <c r="C28" s="9">
        <f>'Q1 2021'!C28+'Q2 2021'!C28</f>
        <v>4214365637</v>
      </c>
      <c r="D28" s="9">
        <f>'Q1 2021'!D28+'Q2 2021'!D28</f>
        <v>89948901.32</v>
      </c>
      <c r="E28" s="9">
        <f>'Q1 2021'!E28+'Q2 2021'!E28</f>
        <v>129781756</v>
      </c>
      <c r="F28" s="9">
        <f>'Q1 2021'!F28+'Q2 2021'!F28</f>
        <v>1413098739</v>
      </c>
      <c r="G28" s="9">
        <f t="shared" si="1"/>
        <v>5847195034</v>
      </c>
      <c r="H28" s="9">
        <f>'Q1 2021'!H28+'Q2 2021'!H28</f>
        <v>2078289567</v>
      </c>
      <c r="I28" s="9">
        <f t="shared" si="2"/>
        <v>7925484601</v>
      </c>
    </row>
    <row r="29" ht="21.75" customHeight="1">
      <c r="A29" s="7">
        <v>27.0</v>
      </c>
      <c r="B29" s="8" t="s">
        <v>36</v>
      </c>
      <c r="C29" s="9">
        <f>'Q1 2021'!C29+'Q2 2021'!C29</f>
        <v>14326752284</v>
      </c>
      <c r="D29" s="9">
        <f>'Q1 2021'!D29+'Q2 2021'!D29</f>
        <v>1567416770</v>
      </c>
      <c r="E29" s="9">
        <f>'Q1 2021'!E29+'Q2 2021'!E29</f>
        <v>533389983.5</v>
      </c>
      <c r="F29" s="9">
        <f>'Q1 2021'!F29+'Q2 2021'!F29</f>
        <v>1508530244</v>
      </c>
      <c r="G29" s="9">
        <f t="shared" si="1"/>
        <v>17936089281</v>
      </c>
      <c r="H29" s="9">
        <f>'Q1 2021'!H29+'Q2 2021'!H29</f>
        <v>36887365091</v>
      </c>
      <c r="I29" s="9">
        <f t="shared" si="2"/>
        <v>54823454372</v>
      </c>
    </row>
    <row r="30" ht="21.75" customHeight="1">
      <c r="A30" s="7">
        <v>28.0</v>
      </c>
      <c r="B30" s="8" t="s">
        <v>37</v>
      </c>
      <c r="C30" s="9">
        <f>'Q1 2021'!C30+'Q2 2021'!C30</f>
        <v>10948911881</v>
      </c>
      <c r="D30" s="9">
        <f>'Q1 2021'!D30+'Q2 2021'!D30</f>
        <v>340017609.6</v>
      </c>
      <c r="E30" s="9">
        <f>'Q1 2021'!E30+'Q2 2021'!E30</f>
        <v>685508281.3</v>
      </c>
      <c r="F30" s="9">
        <f>'Q1 2021'!F30+'Q2 2021'!F30</f>
        <v>3818601476</v>
      </c>
      <c r="G30" s="9">
        <f t="shared" si="1"/>
        <v>15793039248</v>
      </c>
      <c r="H30" s="9">
        <f>'Q1 2021'!H30+'Q2 2021'!H30</f>
        <v>2115078908</v>
      </c>
      <c r="I30" s="9">
        <f t="shared" si="2"/>
        <v>17908118156</v>
      </c>
    </row>
    <row r="31" ht="21.75" customHeight="1">
      <c r="A31" s="7">
        <v>29.0</v>
      </c>
      <c r="B31" s="8" t="s">
        <v>38</v>
      </c>
      <c r="C31" s="9">
        <f>'Q1 2021'!C31+'Q2 2021'!C31</f>
        <v>7506640288</v>
      </c>
      <c r="D31" s="9">
        <f>'Q1 2021'!D31+'Q2 2021'!D31</f>
        <v>392257513.2</v>
      </c>
      <c r="E31" s="9">
        <f>'Q1 2021'!E31+'Q2 2021'!E31</f>
        <v>249814194</v>
      </c>
      <c r="F31" s="9">
        <f>'Q1 2021'!F31+'Q2 2021'!F31</f>
        <v>253717535.5</v>
      </c>
      <c r="G31" s="9">
        <f t="shared" si="1"/>
        <v>8402429530</v>
      </c>
      <c r="H31" s="9">
        <f>'Q1 2021'!H31+'Q2 2021'!H31</f>
        <v>5267393909</v>
      </c>
      <c r="I31" s="9">
        <f t="shared" si="2"/>
        <v>13669823439</v>
      </c>
    </row>
    <row r="32" ht="21.75" customHeight="1">
      <c r="A32" s="7">
        <v>30.0</v>
      </c>
      <c r="B32" s="8" t="s">
        <v>39</v>
      </c>
      <c r="C32" s="9">
        <f>'Q1 2021'!C32+'Q2 2021'!C32</f>
        <v>18590085584</v>
      </c>
      <c r="D32" s="9">
        <f>'Q1 2021'!D32+'Q2 2021'!D32</f>
        <v>632410268.2</v>
      </c>
      <c r="E32" s="9">
        <f>'Q1 2021'!E32+'Q2 2021'!E32</f>
        <v>545510635.6</v>
      </c>
      <c r="F32" s="9">
        <f>'Q1 2021'!F32+'Q2 2021'!F32</f>
        <v>1489978196</v>
      </c>
      <c r="G32" s="9">
        <f t="shared" si="1"/>
        <v>21257984684</v>
      </c>
      <c r="H32" s="9">
        <f>'Q1 2021'!H32+'Q2 2021'!H32</f>
        <v>3933728771</v>
      </c>
      <c r="I32" s="9">
        <f t="shared" si="2"/>
        <v>25191713456</v>
      </c>
    </row>
    <row r="33" ht="21.75" customHeight="1">
      <c r="A33" s="7">
        <v>31.0</v>
      </c>
      <c r="B33" s="8" t="s">
        <v>40</v>
      </c>
      <c r="C33" s="9">
        <f>'Q1 2021'!C33+'Q2 2021'!C33</f>
        <v>12124969813</v>
      </c>
      <c r="D33" s="9">
        <f>'Q1 2021'!D33+'Q2 2021'!D33</f>
        <v>71936110.64</v>
      </c>
      <c r="E33" s="9">
        <f>'Q1 2021'!E33+'Q2 2021'!E33</f>
        <v>274009250</v>
      </c>
      <c r="F33" s="9">
        <f>'Q1 2021'!F33+'Q2 2021'!F33</f>
        <v>671785108.9</v>
      </c>
      <c r="G33" s="9">
        <f t="shared" si="1"/>
        <v>13142700283</v>
      </c>
      <c r="H33" s="9">
        <f>'Q1 2021'!H33+'Q2 2021'!H33</f>
        <v>1322649166</v>
      </c>
      <c r="I33" s="9">
        <f t="shared" si="2"/>
        <v>14465349449</v>
      </c>
    </row>
    <row r="34" ht="21.75" customHeight="1">
      <c r="A34" s="7">
        <v>32.0</v>
      </c>
      <c r="B34" s="8" t="s">
        <v>41</v>
      </c>
      <c r="C34" s="9">
        <f>'Q1 2021'!C34+'Q2 2021'!C34</f>
        <v>47604519771</v>
      </c>
      <c r="D34" s="9">
        <f>'Q1 2021'!D34+'Q2 2021'!D34</f>
        <v>335660065.4</v>
      </c>
      <c r="E34" s="9">
        <f>'Q1 2021'!E34+'Q2 2021'!E34</f>
        <v>22727995</v>
      </c>
      <c r="F34" s="9">
        <f>'Q1 2021'!F34+'Q2 2021'!F34</f>
        <v>4877119893</v>
      </c>
      <c r="G34" s="9">
        <f t="shared" si="1"/>
        <v>52840027725</v>
      </c>
      <c r="H34" s="9">
        <f>'Q1 2021'!H34+'Q2 2021'!H34</f>
        <v>4484644648</v>
      </c>
      <c r="I34" s="9">
        <f t="shared" si="2"/>
        <v>57324672372</v>
      </c>
    </row>
    <row r="35" ht="21.75" customHeight="1">
      <c r="A35" s="7">
        <v>33.0</v>
      </c>
      <c r="B35" s="8" t="s">
        <v>42</v>
      </c>
      <c r="C35" s="9">
        <f>'Q1 2021'!C35+'Q2 2021'!C35</f>
        <v>5058699334</v>
      </c>
      <c r="D35" s="9">
        <f>'Q1 2021'!D35+'Q2 2021'!D35</f>
        <v>519526999</v>
      </c>
      <c r="E35" s="9">
        <f>'Q1 2021'!E35+'Q2 2021'!E35</f>
        <v>23372160</v>
      </c>
      <c r="F35" s="9">
        <f>'Q1 2021'!F35+'Q2 2021'!F35</f>
        <v>1830465449</v>
      </c>
      <c r="G35" s="9">
        <f t="shared" si="1"/>
        <v>7432063942</v>
      </c>
      <c r="H35" s="9">
        <f>'Q1 2021'!H35+'Q2 2021'!H35</f>
        <v>979422035.7</v>
      </c>
      <c r="I35" s="9">
        <f t="shared" si="2"/>
        <v>8411485977</v>
      </c>
    </row>
    <row r="36" ht="21.75" customHeight="1">
      <c r="A36" s="7">
        <v>34.0</v>
      </c>
      <c r="B36" s="8" t="s">
        <v>43</v>
      </c>
      <c r="C36" s="9">
        <f>'Q1 2021'!C36+'Q2 2021'!C36</f>
        <v>2730407705</v>
      </c>
      <c r="D36" s="9">
        <f>'Q1 2021'!D36+'Q2 2021'!D36</f>
        <v>85555660.4</v>
      </c>
      <c r="E36" s="9">
        <f>'Q1 2021'!E36+'Q2 2021'!E36</f>
        <v>57543600</v>
      </c>
      <c r="F36" s="9">
        <f>'Q1 2021'!F36+'Q2 2021'!F36</f>
        <v>17838304.41</v>
      </c>
      <c r="G36" s="9">
        <f t="shared" si="1"/>
        <v>2891345270</v>
      </c>
      <c r="H36" s="9">
        <f>'Q1 2021'!H36+'Q2 2021'!H36</f>
        <v>1882852390</v>
      </c>
      <c r="I36" s="9">
        <f t="shared" si="2"/>
        <v>4774197660</v>
      </c>
    </row>
    <row r="37" ht="21.75" customHeight="1">
      <c r="A37" s="7">
        <v>35.0</v>
      </c>
      <c r="B37" s="8" t="s">
        <v>44</v>
      </c>
      <c r="C37" s="9">
        <f>'Q1 2021'!C37+'Q2 2021'!C37</f>
        <v>3445005192</v>
      </c>
      <c r="D37" s="9">
        <f>'Q1 2021'!D37+'Q2 2021'!D37</f>
        <v>9789715.75</v>
      </c>
      <c r="E37" s="9">
        <f>'Q1 2021'!E37+'Q2 2021'!E37</f>
        <v>36226885</v>
      </c>
      <c r="F37" s="9">
        <f>'Q1 2021'!F37+'Q2 2021'!F37</f>
        <v>145865166.4</v>
      </c>
      <c r="G37" s="9">
        <f t="shared" si="1"/>
        <v>3636886959</v>
      </c>
      <c r="H37" s="9">
        <f>'Q1 2021'!H37+'Q2 2021'!H37</f>
        <v>394146087.6</v>
      </c>
      <c r="I37" s="9">
        <f t="shared" si="2"/>
        <v>4031033047</v>
      </c>
    </row>
    <row r="38" ht="21.75" customHeight="1">
      <c r="A38" s="7">
        <v>36.0</v>
      </c>
      <c r="B38" s="8" t="s">
        <v>45</v>
      </c>
      <c r="C38" s="9">
        <f>'Q1 2021'!C38+'Q2 2021'!C38</f>
        <v>4266842918</v>
      </c>
      <c r="D38" s="9">
        <f>'Q1 2021'!D38+'Q2 2021'!D38</f>
        <v>846339339.6</v>
      </c>
      <c r="E38" s="9">
        <f>'Q1 2021'!E38+'Q2 2021'!E38</f>
        <v>971816033</v>
      </c>
      <c r="F38" s="9">
        <f>'Q1 2021'!F38+'Q2 2021'!F38</f>
        <v>1380184090</v>
      </c>
      <c r="G38" s="9">
        <f t="shared" si="1"/>
        <v>7465182382</v>
      </c>
      <c r="H38" s="9">
        <f>'Q1 2021'!H38+'Q2 2021'!H38</f>
        <v>939394262.7</v>
      </c>
      <c r="I38" s="9">
        <f t="shared" si="2"/>
        <v>8404576644</v>
      </c>
    </row>
    <row r="39" ht="21.75" customHeight="1">
      <c r="A39" s="7">
        <v>37.0</v>
      </c>
      <c r="B39" s="8" t="s">
        <v>46</v>
      </c>
      <c r="C39" s="9">
        <f>'Q1 2021'!C39+'Q2 2021'!C39</f>
        <v>46769664549</v>
      </c>
      <c r="D39" s="9">
        <f>'Q1 2021'!D39+'Q2 2021'!D39</f>
        <v>2867596499</v>
      </c>
      <c r="E39" s="9">
        <f>'Q1 2021'!E39+'Q2 2021'!E39</f>
        <v>0</v>
      </c>
      <c r="F39" s="9">
        <f>'Q1 2021'!F39+'Q2 2021'!F39</f>
        <v>19435618617</v>
      </c>
      <c r="G39" s="9">
        <f t="shared" si="1"/>
        <v>69072879664</v>
      </c>
      <c r="H39" s="9">
        <f>'Q1 2021'!H39+'Q2 2021'!H39</f>
        <v>0</v>
      </c>
      <c r="I39" s="9">
        <f t="shared" si="2"/>
        <v>69072879664</v>
      </c>
    </row>
    <row r="40" ht="21.75" customHeight="1">
      <c r="A40" s="12"/>
      <c r="B40" s="13" t="s">
        <v>47</v>
      </c>
      <c r="C40" s="12">
        <f t="shared" ref="C40:I40" si="3">SUM(C3:C39)</f>
        <v>488106692662</v>
      </c>
      <c r="D40" s="12">
        <f t="shared" si="3"/>
        <v>28071918317</v>
      </c>
      <c r="E40" s="12">
        <f t="shared" si="3"/>
        <v>16752826313</v>
      </c>
      <c r="F40" s="12">
        <f t="shared" si="3"/>
        <v>142636307155</v>
      </c>
      <c r="G40" s="12">
        <f t="shared" si="3"/>
        <v>675567744447</v>
      </c>
      <c r="H40" s="12">
        <f t="shared" si="3"/>
        <v>173555639557</v>
      </c>
      <c r="I40" s="12">
        <f t="shared" si="3"/>
        <v>849123384004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1.75" customHeight="1"/>
    <row r="42" ht="21.75" customHeight="1"/>
    <row r="43" ht="21.75" customHeight="1">
      <c r="A43" s="4">
        <v>1.0</v>
      </c>
      <c r="B43" s="4" t="s">
        <v>48</v>
      </c>
      <c r="C43" s="15">
        <f t="shared" ref="C43:I43" si="4">SUM(C29:C32,C15,C26)</f>
        <v>207328559322</v>
      </c>
      <c r="D43" s="15">
        <f t="shared" si="4"/>
        <v>17383334694</v>
      </c>
      <c r="E43" s="15">
        <f t="shared" si="4"/>
        <v>9070458186</v>
      </c>
      <c r="F43" s="15">
        <f t="shared" si="4"/>
        <v>59618240568</v>
      </c>
      <c r="G43" s="15">
        <f t="shared" si="4"/>
        <v>293400592771</v>
      </c>
      <c r="H43" s="15">
        <f t="shared" si="4"/>
        <v>92013682152</v>
      </c>
      <c r="I43" s="15">
        <f t="shared" si="4"/>
        <v>385414274922</v>
      </c>
    </row>
    <row r="44" ht="21.75" customHeight="1">
      <c r="A44" s="4">
        <v>2.0</v>
      </c>
      <c r="B44" s="4" t="s">
        <v>49</v>
      </c>
      <c r="C44" s="16">
        <f t="shared" ref="C44:I44" si="5">SUM(C34,C14,C12,C11,C8,C5)</f>
        <v>104877363372</v>
      </c>
      <c r="D44" s="16">
        <f t="shared" si="5"/>
        <v>1398436086</v>
      </c>
      <c r="E44" s="16">
        <f t="shared" si="5"/>
        <v>2802555798</v>
      </c>
      <c r="F44" s="16">
        <f t="shared" si="5"/>
        <v>28087866879</v>
      </c>
      <c r="G44" s="16">
        <f t="shared" si="5"/>
        <v>137166222135</v>
      </c>
      <c r="H44" s="16">
        <f t="shared" si="5"/>
        <v>19005104366</v>
      </c>
      <c r="I44" s="16">
        <f t="shared" si="5"/>
        <v>156171326501</v>
      </c>
    </row>
    <row r="45" ht="21.75" customHeight="1">
      <c r="A45" s="4">
        <v>3.0</v>
      </c>
      <c r="B45" s="4" t="s">
        <v>50</v>
      </c>
      <c r="C45" s="16">
        <f t="shared" ref="C45:I45" si="6">SUM(C18,C16,C13,C3,C6)</f>
        <v>30994197982</v>
      </c>
      <c r="D45" s="16">
        <f t="shared" si="6"/>
        <v>846462341</v>
      </c>
      <c r="E45" s="16">
        <f t="shared" si="6"/>
        <v>1271850100</v>
      </c>
      <c r="F45" s="16">
        <f t="shared" si="6"/>
        <v>3489767086</v>
      </c>
      <c r="G45" s="16">
        <f t="shared" si="6"/>
        <v>36602277509</v>
      </c>
      <c r="H45" s="16">
        <f t="shared" si="6"/>
        <v>15606156268</v>
      </c>
      <c r="I45" s="16">
        <f t="shared" si="6"/>
        <v>52208433777</v>
      </c>
    </row>
    <row r="46" ht="21.75" customHeight="1">
      <c r="A46" s="4">
        <v>4.0</v>
      </c>
      <c r="B46" s="4" t="s">
        <v>51</v>
      </c>
      <c r="C46" s="16">
        <f t="shared" ref="C46:I46" si="7">SUM(C39,C33,C28,C27,C25,C24,C9)</f>
        <v>81247604103</v>
      </c>
      <c r="D46" s="16">
        <f t="shared" si="7"/>
        <v>4749956532</v>
      </c>
      <c r="E46" s="16">
        <f t="shared" si="7"/>
        <v>1232591013</v>
      </c>
      <c r="F46" s="16">
        <f t="shared" si="7"/>
        <v>25486503681</v>
      </c>
      <c r="G46" s="16">
        <f t="shared" si="7"/>
        <v>112716655328</v>
      </c>
      <c r="H46" s="16">
        <f t="shared" si="7"/>
        <v>20550427572</v>
      </c>
      <c r="I46" s="16">
        <f t="shared" si="7"/>
        <v>133267082900</v>
      </c>
    </row>
    <row r="47" ht="21.75" customHeight="1">
      <c r="A47" s="4">
        <v>5.0</v>
      </c>
      <c r="B47" s="4" t="s">
        <v>52</v>
      </c>
      <c r="C47" s="16">
        <f t="shared" ref="C47:I47" si="8">SUM(C38,C37,C35,C19:C22)</f>
        <v>38098014230</v>
      </c>
      <c r="D47" s="16">
        <f t="shared" si="8"/>
        <v>2268257127</v>
      </c>
      <c r="E47" s="16">
        <f t="shared" si="8"/>
        <v>1925099709</v>
      </c>
      <c r="F47" s="16">
        <f t="shared" si="8"/>
        <v>18623376685</v>
      </c>
      <c r="G47" s="16">
        <f t="shared" si="8"/>
        <v>60914747751</v>
      </c>
      <c r="H47" s="16">
        <f t="shared" si="8"/>
        <v>18232515224</v>
      </c>
      <c r="I47" s="16">
        <f t="shared" si="8"/>
        <v>79147262975</v>
      </c>
    </row>
    <row r="48" ht="21.75" customHeight="1">
      <c r="A48" s="4">
        <v>6.0</v>
      </c>
      <c r="B48" s="4" t="s">
        <v>53</v>
      </c>
      <c r="C48" s="16">
        <f t="shared" ref="C48:I48" si="9">SUM(C36,C23,C17,C10,C7,C4)</f>
        <v>25560953654</v>
      </c>
      <c r="D48" s="16">
        <f t="shared" si="9"/>
        <v>1425471536</v>
      </c>
      <c r="E48" s="16">
        <f t="shared" si="9"/>
        <v>450271506.3</v>
      </c>
      <c r="F48" s="16">
        <f t="shared" si="9"/>
        <v>7330552255</v>
      </c>
      <c r="G48" s="16">
        <f t="shared" si="9"/>
        <v>34767248952</v>
      </c>
      <c r="H48" s="16">
        <f t="shared" si="9"/>
        <v>8147753976</v>
      </c>
      <c r="I48" s="16">
        <f t="shared" si="9"/>
        <v>42915002928</v>
      </c>
    </row>
    <row r="49" ht="21.75" customHeight="1">
      <c r="A49" s="4"/>
      <c r="B49" s="17" t="s">
        <v>54</v>
      </c>
      <c r="C49" s="18">
        <f t="shared" ref="C49:I49" si="10">SUM(C43:C48)</f>
        <v>488106692662</v>
      </c>
      <c r="D49" s="18">
        <f t="shared" si="10"/>
        <v>28071918317</v>
      </c>
      <c r="E49" s="18">
        <f t="shared" si="10"/>
        <v>16752826313</v>
      </c>
      <c r="F49" s="18">
        <f t="shared" si="10"/>
        <v>142636307155</v>
      </c>
      <c r="G49" s="18">
        <f t="shared" si="10"/>
        <v>675567744447</v>
      </c>
      <c r="H49" s="18">
        <f t="shared" si="10"/>
        <v>173555639557</v>
      </c>
      <c r="I49" s="18">
        <f t="shared" si="10"/>
        <v>849123384004</v>
      </c>
    </row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1">
    <mergeCell ref="A1:I1"/>
  </mergeCells>
  <printOptions horizontalCentered="1"/>
  <pageMargins bottom="0.15748031496062992" footer="0.0" header="0.0" left="0.11811023622047245" right="0.11811023622047245" top="0.15748031496062992"/>
  <pageSetup paperSize="9" orientation="landscape"/>
  <rowBreaks count="1" manualBreakCount="1">
    <brk id="42" man="1"/>
  </rowBreaks>
  <drawing r:id="rId1"/>
</worksheet>
</file>